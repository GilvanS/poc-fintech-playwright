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A:\Workspace\poc-fintech-playwright\data\"/>
    </mc:Choice>
  </mc:AlternateContent>
  <xr:revisionPtr revIDLastSave="0" documentId="13_ncr:1_{F61431E5-76EC-4AC8-AE23-57D738255F1E}" xr6:coauthVersionLast="47" xr6:coauthVersionMax="47" xr10:uidLastSave="{00000000-0000-0000-0000-000000000000}"/>
  <bookViews>
    <workbookView xWindow="22932" yWindow="-60" windowWidth="23256" windowHeight="12456" tabRatio="745" activeTab="1" xr2:uid="{00000000-000D-0000-FFFF-FFFF00000000}"/>
  </bookViews>
  <sheets>
    <sheet name="TBL_FATURA" sheetId="7" r:id="rId1"/>
    <sheet name="TBL_CENARIOS" sheetId="1" r:id="rId2"/>
    <sheet name="TBL_USUARIOS" sheetId="8" r:id="rId3"/>
    <sheet name="TBL_PIX" sheetId="5" r:id="rId4"/>
    <sheet name="TBL_USUARIOS_SECUNDARIOS" sheetId="9" r:id="rId5"/>
    <sheet name="TBL_CADASTRO" sheetId="2" r:id="rId6"/>
    <sheet name="tbl_de_massas" sheetId="11" r:id="rId7"/>
  </sheets>
  <definedNames>
    <definedName name="DadosExternos_2" localSheetId="6" hidden="1">tbl_de_massas!$A$1:$Q$1016</definedName>
    <definedName name="TBL_CADASTRO" localSheetId="5">#REF!</definedName>
    <definedName name="TBL_CADASTRO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1" l="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33" i="11"/>
  <c r="R34" i="11"/>
  <c r="R35" i="11"/>
  <c r="R36" i="11"/>
  <c r="R37" i="11"/>
  <c r="R38" i="11"/>
  <c r="R39" i="11"/>
  <c r="R40" i="11"/>
  <c r="R41" i="11"/>
  <c r="R42" i="11"/>
  <c r="R43" i="11"/>
  <c r="R44" i="11"/>
  <c r="R45" i="11"/>
  <c r="R46" i="11"/>
  <c r="R47" i="11"/>
  <c r="R48" i="11"/>
  <c r="R49" i="11"/>
  <c r="R50" i="11"/>
  <c r="R51" i="11"/>
  <c r="R52" i="11"/>
  <c r="R53" i="11"/>
  <c r="R54" i="11"/>
  <c r="R55" i="11"/>
  <c r="R56" i="11"/>
  <c r="R57" i="11"/>
  <c r="R58" i="11"/>
  <c r="R59" i="11"/>
  <c r="R60" i="11"/>
  <c r="R61" i="11"/>
  <c r="R62" i="11"/>
  <c r="R63" i="11"/>
  <c r="R64" i="11"/>
  <c r="R65" i="11"/>
  <c r="R66" i="11"/>
  <c r="R67" i="11"/>
  <c r="R68" i="11"/>
  <c r="R69" i="11"/>
  <c r="R70" i="11"/>
  <c r="R71" i="11"/>
  <c r="R72" i="11"/>
  <c r="R73" i="11"/>
  <c r="R74" i="11"/>
  <c r="R75" i="11"/>
  <c r="R76" i="11"/>
  <c r="R77" i="11"/>
  <c r="R78" i="11"/>
  <c r="R79" i="11"/>
  <c r="R80" i="11"/>
  <c r="R81" i="11"/>
  <c r="R82" i="11"/>
  <c r="R83" i="11"/>
  <c r="R84" i="11"/>
  <c r="R85" i="11"/>
  <c r="R86" i="11"/>
  <c r="R87" i="11"/>
  <c r="R88" i="11"/>
  <c r="R89" i="11"/>
  <c r="R90" i="11"/>
  <c r="R91" i="11"/>
  <c r="R92" i="11"/>
  <c r="R93" i="11"/>
  <c r="R94" i="11"/>
  <c r="R95" i="11"/>
  <c r="R96" i="11"/>
  <c r="R97" i="11"/>
  <c r="R98" i="11"/>
  <c r="R99" i="11"/>
  <c r="R100" i="11"/>
  <c r="R101" i="11"/>
  <c r="R102" i="11"/>
  <c r="R103" i="11"/>
  <c r="R104" i="11"/>
  <c r="R105" i="11"/>
  <c r="R106" i="11"/>
  <c r="R107" i="11"/>
  <c r="R108" i="11"/>
  <c r="R109" i="11"/>
  <c r="R110" i="11"/>
  <c r="R111" i="11"/>
  <c r="R112" i="11"/>
  <c r="R113" i="11"/>
  <c r="R114" i="11"/>
  <c r="R115" i="11"/>
  <c r="R116" i="11"/>
  <c r="R117" i="11"/>
  <c r="R118" i="11"/>
  <c r="R119" i="11"/>
  <c r="R120" i="11"/>
  <c r="R121" i="11"/>
  <c r="R122" i="11"/>
  <c r="R123" i="11"/>
  <c r="R124" i="11"/>
  <c r="R125" i="11"/>
  <c r="R126" i="11"/>
  <c r="R127" i="11"/>
  <c r="R128" i="11"/>
  <c r="R129" i="11"/>
  <c r="R130" i="11"/>
  <c r="R131" i="11"/>
  <c r="R132" i="11"/>
  <c r="R133" i="11"/>
  <c r="R134" i="11"/>
  <c r="R135" i="11"/>
  <c r="R136" i="11"/>
  <c r="R137" i="11"/>
  <c r="R138" i="11"/>
  <c r="R139" i="11"/>
  <c r="R140" i="11"/>
  <c r="R141" i="11"/>
  <c r="R142" i="11"/>
  <c r="R143" i="11"/>
  <c r="R144" i="11"/>
  <c r="R145" i="11"/>
  <c r="R146" i="11"/>
  <c r="R147" i="11"/>
  <c r="R148" i="11"/>
  <c r="R149" i="11"/>
  <c r="R150" i="11"/>
  <c r="R151" i="11"/>
  <c r="R152" i="11"/>
  <c r="R153" i="11"/>
  <c r="R154" i="11"/>
  <c r="R155" i="11"/>
  <c r="R156" i="11"/>
  <c r="R157" i="11"/>
  <c r="R158" i="11"/>
  <c r="R159" i="11"/>
  <c r="R160" i="11"/>
  <c r="R161" i="11"/>
  <c r="R162" i="11"/>
  <c r="R163" i="11"/>
  <c r="R164" i="11"/>
  <c r="R165" i="11"/>
  <c r="R166" i="11"/>
  <c r="R167" i="11"/>
  <c r="R168" i="11"/>
  <c r="R169" i="11"/>
  <c r="R170" i="11"/>
  <c r="R171" i="11"/>
  <c r="R172" i="11"/>
  <c r="R173" i="11"/>
  <c r="R174" i="11"/>
  <c r="R175" i="11"/>
  <c r="R176" i="11"/>
  <c r="R177" i="11"/>
  <c r="R178" i="11"/>
  <c r="R179" i="11"/>
  <c r="R180" i="11"/>
  <c r="R181" i="11"/>
  <c r="R182" i="11"/>
  <c r="R183" i="11"/>
  <c r="R184" i="11"/>
  <c r="R185" i="11"/>
  <c r="R186" i="11"/>
  <c r="R187" i="11"/>
  <c r="R188" i="11"/>
  <c r="R189" i="11"/>
  <c r="R190" i="11"/>
  <c r="R191" i="11"/>
  <c r="R192" i="11"/>
  <c r="R193" i="11"/>
  <c r="R194" i="11"/>
  <c r="R195" i="11"/>
  <c r="R196" i="11"/>
  <c r="R197" i="11"/>
  <c r="R198" i="11"/>
  <c r="R199" i="11"/>
  <c r="R200" i="11"/>
  <c r="R201" i="11"/>
  <c r="R202" i="11"/>
  <c r="R203" i="11"/>
  <c r="R204" i="11"/>
  <c r="R205" i="11"/>
  <c r="R206" i="11"/>
  <c r="R207" i="11"/>
  <c r="R208" i="11"/>
  <c r="R209" i="11"/>
  <c r="R210" i="11"/>
  <c r="R211" i="11"/>
  <c r="R212" i="11"/>
  <c r="R213" i="11"/>
  <c r="R214" i="11"/>
  <c r="R215" i="11"/>
  <c r="R216" i="11"/>
  <c r="R217" i="11"/>
  <c r="R218" i="11"/>
  <c r="R219" i="11"/>
  <c r="R220" i="11"/>
  <c r="R221" i="11"/>
  <c r="R222" i="11"/>
  <c r="R223" i="11"/>
  <c r="R224" i="11"/>
  <c r="R225" i="11"/>
  <c r="R226" i="11"/>
  <c r="R227" i="11"/>
  <c r="R228" i="11"/>
  <c r="R229" i="11"/>
  <c r="R230" i="11"/>
  <c r="R231" i="11"/>
  <c r="R232" i="11"/>
  <c r="R233" i="11"/>
  <c r="R234" i="11"/>
  <c r="R235" i="11"/>
  <c r="R236" i="11"/>
  <c r="R237" i="11"/>
  <c r="R238" i="11"/>
  <c r="R239" i="11"/>
  <c r="R240" i="11"/>
  <c r="R241" i="11"/>
  <c r="R242" i="11"/>
  <c r="R243" i="11"/>
  <c r="R244" i="11"/>
  <c r="R245" i="11"/>
  <c r="R246" i="11"/>
  <c r="R247" i="11"/>
  <c r="R248" i="11"/>
  <c r="R249" i="11"/>
  <c r="R250" i="11"/>
  <c r="R251" i="11"/>
  <c r="R252" i="11"/>
  <c r="R253" i="11"/>
  <c r="R254" i="11"/>
  <c r="R255" i="11"/>
  <c r="R256" i="11"/>
  <c r="R257" i="11"/>
  <c r="R258" i="11"/>
  <c r="R259" i="11"/>
  <c r="R260" i="11"/>
  <c r="R261" i="11"/>
  <c r="R262" i="11"/>
  <c r="R263" i="11"/>
  <c r="R264" i="11"/>
  <c r="R265" i="11"/>
  <c r="R266" i="11"/>
  <c r="R267" i="11"/>
  <c r="R268" i="11"/>
  <c r="R269" i="11"/>
  <c r="R270" i="11"/>
  <c r="R271" i="11"/>
  <c r="R272" i="11"/>
  <c r="R273" i="11"/>
  <c r="R274" i="11"/>
  <c r="R275" i="11"/>
  <c r="R276" i="11"/>
  <c r="R277" i="11"/>
  <c r="R278" i="11"/>
  <c r="R279" i="11"/>
  <c r="R280" i="11"/>
  <c r="R281" i="11"/>
  <c r="R282" i="11"/>
  <c r="R283" i="11"/>
  <c r="R284" i="11"/>
  <c r="R285" i="11"/>
  <c r="R286" i="11"/>
  <c r="R287" i="11"/>
  <c r="R288" i="11"/>
  <c r="R289" i="11"/>
  <c r="R290" i="11"/>
  <c r="R291" i="11"/>
  <c r="R292" i="11"/>
  <c r="R293" i="11"/>
  <c r="R294" i="11"/>
  <c r="R295" i="11"/>
  <c r="R296" i="11"/>
  <c r="R297" i="11"/>
  <c r="R298" i="11"/>
  <c r="R299" i="11"/>
  <c r="R300" i="11"/>
  <c r="R301" i="11"/>
  <c r="R302" i="11"/>
  <c r="R303" i="11"/>
  <c r="R304" i="11"/>
  <c r="R305" i="11"/>
  <c r="R306" i="11"/>
  <c r="R307" i="11"/>
  <c r="R308" i="11"/>
  <c r="R309" i="11"/>
  <c r="R310" i="11"/>
  <c r="R311" i="11"/>
  <c r="R312" i="11"/>
  <c r="R313" i="11"/>
  <c r="R314" i="11"/>
  <c r="R315" i="11"/>
  <c r="R316" i="11"/>
  <c r="R317" i="11"/>
  <c r="R318" i="11"/>
  <c r="R319" i="11"/>
  <c r="R320" i="11"/>
  <c r="R321" i="11"/>
  <c r="R322" i="11"/>
  <c r="R323" i="11"/>
  <c r="R324" i="11"/>
  <c r="R325" i="11"/>
  <c r="R326" i="11"/>
  <c r="R327" i="11"/>
  <c r="R328" i="11"/>
  <c r="R329" i="11"/>
  <c r="R330" i="11"/>
  <c r="R331" i="11"/>
  <c r="R332" i="11"/>
  <c r="R333" i="11"/>
  <c r="R334" i="11"/>
  <c r="R335" i="11"/>
  <c r="R336" i="11"/>
  <c r="R337" i="11"/>
  <c r="R338" i="11"/>
  <c r="R339" i="11"/>
  <c r="R340" i="11"/>
  <c r="R341" i="11"/>
  <c r="R342" i="11"/>
  <c r="R343" i="11"/>
  <c r="R344" i="11"/>
  <c r="R345" i="11"/>
  <c r="R346" i="11"/>
  <c r="R347" i="11"/>
  <c r="R348" i="11"/>
  <c r="R349" i="11"/>
  <c r="R350" i="11"/>
  <c r="R351" i="11"/>
  <c r="R352" i="11"/>
  <c r="R353" i="11"/>
  <c r="R354" i="11"/>
  <c r="R355" i="11"/>
  <c r="R356" i="11"/>
  <c r="R357" i="11"/>
  <c r="R358" i="11"/>
  <c r="R359" i="11"/>
  <c r="R360" i="11"/>
  <c r="R361" i="11"/>
  <c r="R362" i="11"/>
  <c r="R363" i="11"/>
  <c r="R364" i="11"/>
  <c r="R365" i="11"/>
  <c r="R366" i="11"/>
  <c r="R367" i="11"/>
  <c r="R368" i="11"/>
  <c r="R369" i="11"/>
  <c r="R370" i="11"/>
  <c r="R371" i="11"/>
  <c r="R372" i="11"/>
  <c r="R373" i="11"/>
  <c r="R374" i="11"/>
  <c r="R375" i="11"/>
  <c r="R376" i="11"/>
  <c r="R377" i="11"/>
  <c r="R378" i="11"/>
  <c r="R379" i="11"/>
  <c r="R380" i="11"/>
  <c r="R381" i="11"/>
  <c r="R382" i="11"/>
  <c r="R383" i="11"/>
  <c r="R384" i="11"/>
  <c r="R385" i="11"/>
  <c r="R386" i="11"/>
  <c r="R387" i="11"/>
  <c r="R388" i="11"/>
  <c r="R389" i="11"/>
  <c r="R390" i="11"/>
  <c r="R391" i="11"/>
  <c r="R392" i="11"/>
  <c r="R393" i="11"/>
  <c r="R394" i="11"/>
  <c r="R395" i="11"/>
  <c r="R396" i="11"/>
  <c r="R397" i="11"/>
  <c r="R398" i="11"/>
  <c r="R399" i="11"/>
  <c r="R400" i="11"/>
  <c r="R401" i="11"/>
  <c r="R402" i="11"/>
  <c r="R403" i="11"/>
  <c r="R404" i="11"/>
  <c r="R405" i="11"/>
  <c r="R406" i="11"/>
  <c r="R407" i="11"/>
  <c r="R408" i="11"/>
  <c r="R409" i="11"/>
  <c r="R410" i="11"/>
  <c r="R411" i="11"/>
  <c r="R412" i="11"/>
  <c r="R413" i="11"/>
  <c r="R414" i="11"/>
  <c r="R415" i="11"/>
  <c r="R416" i="11"/>
  <c r="R417" i="11"/>
  <c r="R418" i="11"/>
  <c r="R419" i="11"/>
  <c r="R420" i="11"/>
  <c r="R421" i="11"/>
  <c r="R422" i="11"/>
  <c r="R423" i="11"/>
  <c r="R424" i="11"/>
  <c r="R425" i="11"/>
  <c r="R426" i="11"/>
  <c r="R427" i="11"/>
  <c r="R428" i="11"/>
  <c r="R429" i="11"/>
  <c r="R430" i="11"/>
  <c r="R431" i="11"/>
  <c r="R432" i="11"/>
  <c r="R433" i="11"/>
  <c r="R434" i="11"/>
  <c r="R435" i="11"/>
  <c r="R436" i="11"/>
  <c r="R437" i="11"/>
  <c r="R438" i="11"/>
  <c r="R439" i="11"/>
  <c r="R440" i="11"/>
  <c r="R441" i="11"/>
  <c r="R442" i="11"/>
  <c r="R443" i="11"/>
  <c r="R444" i="11"/>
  <c r="R445" i="11"/>
  <c r="R446" i="11"/>
  <c r="R447" i="11"/>
  <c r="R448" i="11"/>
  <c r="R449" i="11"/>
  <c r="R450" i="11"/>
  <c r="R451" i="11"/>
  <c r="R452" i="11"/>
  <c r="R453" i="11"/>
  <c r="R454" i="11"/>
  <c r="R455" i="11"/>
  <c r="R456" i="11"/>
  <c r="R457" i="11"/>
  <c r="R458" i="11"/>
  <c r="R459" i="11"/>
  <c r="R460" i="11"/>
  <c r="R461" i="11"/>
  <c r="R462" i="11"/>
  <c r="R463" i="11"/>
  <c r="R464" i="11"/>
  <c r="R465" i="11"/>
  <c r="R466" i="11"/>
  <c r="R467" i="11"/>
  <c r="R468" i="11"/>
  <c r="R469" i="11"/>
  <c r="R470" i="11"/>
  <c r="R471" i="11"/>
  <c r="R472" i="11"/>
  <c r="R473" i="11"/>
  <c r="R474" i="11"/>
  <c r="R475" i="11"/>
  <c r="R476" i="11"/>
  <c r="R477" i="11"/>
  <c r="R478" i="11"/>
  <c r="R479" i="11"/>
  <c r="R480" i="11"/>
  <c r="R481" i="11"/>
  <c r="R482" i="11"/>
  <c r="R483" i="11"/>
  <c r="R484" i="11"/>
  <c r="R485" i="11"/>
  <c r="R486" i="11"/>
  <c r="R487" i="11"/>
  <c r="R488" i="11"/>
  <c r="R489" i="11"/>
  <c r="R490" i="11"/>
  <c r="R491" i="11"/>
  <c r="R492" i="11"/>
  <c r="R493" i="11"/>
  <c r="R494" i="11"/>
  <c r="R495" i="11"/>
  <c r="R496" i="11"/>
  <c r="R497" i="11"/>
  <c r="R498" i="11"/>
  <c r="R499" i="11"/>
  <c r="R500" i="11"/>
  <c r="R501" i="11"/>
  <c r="R502" i="11"/>
  <c r="R503" i="11"/>
  <c r="R504" i="11"/>
  <c r="R505" i="11"/>
  <c r="R506" i="11"/>
  <c r="R507" i="11"/>
  <c r="R508" i="11"/>
  <c r="R509" i="11"/>
  <c r="R510" i="11"/>
  <c r="R511" i="11"/>
  <c r="R512" i="11"/>
  <c r="R513" i="11"/>
  <c r="R514" i="11"/>
  <c r="R515" i="11"/>
  <c r="R516" i="11"/>
  <c r="R517" i="11"/>
  <c r="R518" i="11"/>
  <c r="R519" i="11"/>
  <c r="R520" i="11"/>
  <c r="R521" i="11"/>
  <c r="R522" i="11"/>
  <c r="R523" i="11"/>
  <c r="R524" i="11"/>
  <c r="R525" i="11"/>
  <c r="R526" i="11"/>
  <c r="R527" i="11"/>
  <c r="R528" i="11"/>
  <c r="R529" i="11"/>
  <c r="R530" i="11"/>
  <c r="R531" i="11"/>
  <c r="R532" i="11"/>
  <c r="R533" i="11"/>
  <c r="R534" i="11"/>
  <c r="R535" i="11"/>
  <c r="R536" i="11"/>
  <c r="R537" i="11"/>
  <c r="R538" i="11"/>
  <c r="R539" i="11"/>
  <c r="R540" i="11"/>
  <c r="R541" i="11"/>
  <c r="R542" i="11"/>
  <c r="R543" i="11"/>
  <c r="R544" i="11"/>
  <c r="R545" i="11"/>
  <c r="R546" i="11"/>
  <c r="R547" i="11"/>
  <c r="R548" i="11"/>
  <c r="R549" i="11"/>
  <c r="R550" i="11"/>
  <c r="R551" i="11"/>
  <c r="R552" i="11"/>
  <c r="R553" i="11"/>
  <c r="R554" i="11"/>
  <c r="R555" i="11"/>
  <c r="R556" i="11"/>
  <c r="R557" i="11"/>
  <c r="R558" i="11"/>
  <c r="R559" i="11"/>
  <c r="R560" i="11"/>
  <c r="R561" i="11"/>
  <c r="R562" i="11"/>
  <c r="R563" i="11"/>
  <c r="R564" i="11"/>
  <c r="R565" i="11"/>
  <c r="R566" i="11"/>
  <c r="R567" i="11"/>
  <c r="R568" i="11"/>
  <c r="R569" i="11"/>
  <c r="R570" i="11"/>
  <c r="R571" i="11"/>
  <c r="R572" i="11"/>
  <c r="R573" i="11"/>
  <c r="R574" i="11"/>
  <c r="R575" i="11"/>
  <c r="R576" i="11"/>
  <c r="R577" i="11"/>
  <c r="R578" i="11"/>
  <c r="R579" i="11"/>
  <c r="R580" i="11"/>
  <c r="R581" i="11"/>
  <c r="R582" i="11"/>
  <c r="R583" i="11"/>
  <c r="R584" i="11"/>
  <c r="R585" i="11"/>
  <c r="R586" i="11"/>
  <c r="R587" i="11"/>
  <c r="R588" i="11"/>
  <c r="R589" i="11"/>
  <c r="R590" i="11"/>
  <c r="R591" i="11"/>
  <c r="R592" i="11"/>
  <c r="R593" i="11"/>
  <c r="R594" i="11"/>
  <c r="R595" i="11"/>
  <c r="R596" i="11"/>
  <c r="R597" i="11"/>
  <c r="R598" i="11"/>
  <c r="R599" i="11"/>
  <c r="R600" i="11"/>
  <c r="R601" i="11"/>
  <c r="R602" i="11"/>
  <c r="R603" i="11"/>
  <c r="R604" i="11"/>
  <c r="R605" i="11"/>
  <c r="R606" i="11"/>
  <c r="R607" i="11"/>
  <c r="R608" i="11"/>
  <c r="R609" i="11"/>
  <c r="R610" i="11"/>
  <c r="R611" i="11"/>
  <c r="R612" i="11"/>
  <c r="R613" i="11"/>
  <c r="R614" i="11"/>
  <c r="R615" i="11"/>
  <c r="R616" i="11"/>
  <c r="R617" i="11"/>
  <c r="R618" i="11"/>
  <c r="R619" i="11"/>
  <c r="R620" i="11"/>
  <c r="R621" i="11"/>
  <c r="R622" i="11"/>
  <c r="R623" i="11"/>
  <c r="R624" i="11"/>
  <c r="R625" i="11"/>
  <c r="R626" i="11"/>
  <c r="R627" i="11"/>
  <c r="R628" i="11"/>
  <c r="R629" i="11"/>
  <c r="R630" i="11"/>
  <c r="R631" i="11"/>
  <c r="R632" i="11"/>
  <c r="R633" i="11"/>
  <c r="R634" i="11"/>
  <c r="R635" i="11"/>
  <c r="R636" i="11"/>
  <c r="R637" i="11"/>
  <c r="R638" i="11"/>
  <c r="R639" i="11"/>
  <c r="R640" i="11"/>
  <c r="R641" i="11"/>
  <c r="R642" i="11"/>
  <c r="R643" i="11"/>
  <c r="R644" i="11"/>
  <c r="R645" i="11"/>
  <c r="R646" i="11"/>
  <c r="R647" i="11"/>
  <c r="R648" i="11"/>
  <c r="R649" i="11"/>
  <c r="R650" i="11"/>
  <c r="R651" i="11"/>
  <c r="R652" i="11"/>
  <c r="R653" i="11"/>
  <c r="R654" i="11"/>
  <c r="R655" i="11"/>
  <c r="R656" i="11"/>
  <c r="R657" i="11"/>
  <c r="R658" i="11"/>
  <c r="R659" i="11"/>
  <c r="R660" i="11"/>
  <c r="R661" i="11"/>
  <c r="R662" i="11"/>
  <c r="R663" i="11"/>
  <c r="R664" i="11"/>
  <c r="R665" i="11"/>
  <c r="R666" i="11"/>
  <c r="R667" i="11"/>
  <c r="R668" i="11"/>
  <c r="R669" i="11"/>
  <c r="R670" i="11"/>
  <c r="R671" i="11"/>
  <c r="R672" i="11"/>
  <c r="R673" i="11"/>
  <c r="R674" i="11"/>
  <c r="R675" i="11"/>
  <c r="R676" i="11"/>
  <c r="R677" i="11"/>
  <c r="R678" i="11"/>
  <c r="R679" i="11"/>
  <c r="R680" i="11"/>
  <c r="R681" i="11"/>
  <c r="R682" i="11"/>
  <c r="R683" i="11"/>
  <c r="R684" i="11"/>
  <c r="R685" i="11"/>
  <c r="R686" i="11"/>
  <c r="R687" i="11"/>
  <c r="R688" i="11"/>
  <c r="R689" i="11"/>
  <c r="R690" i="11"/>
  <c r="R691" i="11"/>
  <c r="R692" i="11"/>
  <c r="R693" i="11"/>
  <c r="R694" i="11"/>
  <c r="R695" i="11"/>
  <c r="R696" i="11"/>
  <c r="R697" i="11"/>
  <c r="R698" i="11"/>
  <c r="R699" i="11"/>
  <c r="R700" i="11"/>
  <c r="R701" i="11"/>
  <c r="R702" i="11"/>
  <c r="R703" i="11"/>
  <c r="R704" i="11"/>
  <c r="R705" i="11"/>
  <c r="R706" i="11"/>
  <c r="R707" i="11"/>
  <c r="R708" i="11"/>
  <c r="R709" i="11"/>
  <c r="R710" i="11"/>
  <c r="R711" i="11"/>
  <c r="R712" i="11"/>
  <c r="R713" i="11"/>
  <c r="R714" i="11"/>
  <c r="R715" i="11"/>
  <c r="R716" i="11"/>
  <c r="R717" i="11"/>
  <c r="R718" i="11"/>
  <c r="R719" i="11"/>
  <c r="R720" i="11"/>
  <c r="R721" i="11"/>
  <c r="R722" i="11"/>
  <c r="R723" i="11"/>
  <c r="R724" i="11"/>
  <c r="R725" i="11"/>
  <c r="R726" i="11"/>
  <c r="R727" i="11"/>
  <c r="R728" i="11"/>
  <c r="R729" i="11"/>
  <c r="R730" i="11"/>
  <c r="R731" i="11"/>
  <c r="R732" i="11"/>
  <c r="R733" i="11"/>
  <c r="R734" i="11"/>
  <c r="R735" i="11"/>
  <c r="R736" i="11"/>
  <c r="R737" i="11"/>
  <c r="R738" i="11"/>
  <c r="R739" i="11"/>
  <c r="R740" i="11"/>
  <c r="R741" i="11"/>
  <c r="R742" i="11"/>
  <c r="R743" i="11"/>
  <c r="R744" i="11"/>
  <c r="R745" i="11"/>
  <c r="R746" i="11"/>
  <c r="R747" i="11"/>
  <c r="R748" i="11"/>
  <c r="R749" i="11"/>
  <c r="R750" i="11"/>
  <c r="R751" i="11"/>
  <c r="R752" i="11"/>
  <c r="R753" i="11"/>
  <c r="R754" i="11"/>
  <c r="R755" i="11"/>
  <c r="R756" i="11"/>
  <c r="R757" i="11"/>
  <c r="R758" i="11"/>
  <c r="R759" i="11"/>
  <c r="R760" i="11"/>
  <c r="R761" i="11"/>
  <c r="R762" i="11"/>
  <c r="R763" i="11"/>
  <c r="R764" i="11"/>
  <c r="R765" i="11"/>
  <c r="R766" i="11"/>
  <c r="R767" i="11"/>
  <c r="R768" i="11"/>
  <c r="R769" i="11"/>
  <c r="R770" i="11"/>
  <c r="R771" i="11"/>
  <c r="R772" i="11"/>
  <c r="R773" i="11"/>
  <c r="R774" i="11"/>
  <c r="R775" i="11"/>
  <c r="R776" i="11"/>
  <c r="R777" i="11"/>
  <c r="R778" i="11"/>
  <c r="R779" i="11"/>
  <c r="R780" i="11"/>
  <c r="R781" i="11"/>
  <c r="R782" i="11"/>
  <c r="R783" i="11"/>
  <c r="R784" i="11"/>
  <c r="R785" i="11"/>
  <c r="R786" i="11"/>
  <c r="R787" i="11"/>
  <c r="R788" i="11"/>
  <c r="R789" i="11"/>
  <c r="R790" i="11"/>
  <c r="R791" i="11"/>
  <c r="R792" i="11"/>
  <c r="R793" i="11"/>
  <c r="R794" i="11"/>
  <c r="R795" i="11"/>
  <c r="R796" i="11"/>
  <c r="R797" i="11"/>
  <c r="R798" i="11"/>
  <c r="R799" i="11"/>
  <c r="R800" i="11"/>
  <c r="R801" i="11"/>
  <c r="R802" i="11"/>
  <c r="R803" i="11"/>
  <c r="R804" i="11"/>
  <c r="R805" i="11"/>
  <c r="R806" i="11"/>
  <c r="R807" i="11"/>
  <c r="R808" i="11"/>
  <c r="R809" i="11"/>
  <c r="R810" i="11"/>
  <c r="R811" i="11"/>
  <c r="R812" i="11"/>
  <c r="R813" i="11"/>
  <c r="R814" i="11"/>
  <c r="R815" i="11"/>
  <c r="R816" i="11"/>
  <c r="R817" i="11"/>
  <c r="R818" i="11"/>
  <c r="R819" i="11"/>
  <c r="R820" i="11"/>
  <c r="R821" i="11"/>
  <c r="R822" i="11"/>
  <c r="R823" i="11"/>
  <c r="R824" i="11"/>
  <c r="R825" i="11"/>
  <c r="R826" i="11"/>
  <c r="R827" i="11"/>
  <c r="R828" i="11"/>
  <c r="R829" i="11"/>
  <c r="R830" i="11"/>
  <c r="R831" i="11"/>
  <c r="R832" i="11"/>
  <c r="R833" i="11"/>
  <c r="R834" i="11"/>
  <c r="R835" i="11"/>
  <c r="R836" i="11"/>
  <c r="R837" i="11"/>
  <c r="R838" i="11"/>
  <c r="R839" i="11"/>
  <c r="R840" i="11"/>
  <c r="R841" i="11"/>
  <c r="R842" i="11"/>
  <c r="R843" i="11"/>
  <c r="R844" i="11"/>
  <c r="R845" i="11"/>
  <c r="R846" i="11"/>
  <c r="R847" i="11"/>
  <c r="R848" i="11"/>
  <c r="R849" i="11"/>
  <c r="R850" i="11"/>
  <c r="R851" i="11"/>
  <c r="R852" i="11"/>
  <c r="R853" i="11"/>
  <c r="R854" i="11"/>
  <c r="R855" i="11"/>
  <c r="R856" i="11"/>
  <c r="R857" i="11"/>
  <c r="R858" i="11"/>
  <c r="R859" i="11"/>
  <c r="R860" i="11"/>
  <c r="R861" i="11"/>
  <c r="R862" i="11"/>
  <c r="R863" i="11"/>
  <c r="R864" i="11"/>
  <c r="R865" i="11"/>
  <c r="R866" i="11"/>
  <c r="R867" i="11"/>
  <c r="R868" i="11"/>
  <c r="R869" i="11"/>
  <c r="R870" i="11"/>
  <c r="R871" i="11"/>
  <c r="R872" i="11"/>
  <c r="R873" i="11"/>
  <c r="R874" i="11"/>
  <c r="R875" i="11"/>
  <c r="R876" i="11"/>
  <c r="R877" i="11"/>
  <c r="R878" i="11"/>
  <c r="R879" i="11"/>
  <c r="R880" i="11"/>
  <c r="R881" i="11"/>
  <c r="R882" i="11"/>
  <c r="R883" i="11"/>
  <c r="R884" i="11"/>
  <c r="R885" i="11"/>
  <c r="R886" i="11"/>
  <c r="R887" i="11"/>
  <c r="R888" i="11"/>
  <c r="R889" i="11"/>
  <c r="R890" i="11"/>
  <c r="R891" i="11"/>
  <c r="R892" i="11"/>
  <c r="R893" i="11"/>
  <c r="R894" i="11"/>
  <c r="R895" i="11"/>
  <c r="R896" i="11"/>
  <c r="R897" i="11"/>
  <c r="R898" i="11"/>
  <c r="R899" i="11"/>
  <c r="R900" i="11"/>
  <c r="R901" i="11"/>
  <c r="R902" i="11"/>
  <c r="R903" i="11"/>
  <c r="R904" i="11"/>
  <c r="R905" i="11"/>
  <c r="R906" i="11"/>
  <c r="R907" i="11"/>
  <c r="R908" i="11"/>
  <c r="R909" i="11"/>
  <c r="R910" i="11"/>
  <c r="R911" i="11"/>
  <c r="R912" i="11"/>
  <c r="R913" i="11"/>
  <c r="R914" i="11"/>
  <c r="R915" i="11"/>
  <c r="R916" i="11"/>
  <c r="R917" i="11"/>
  <c r="R918" i="11"/>
  <c r="R919" i="11"/>
  <c r="R920" i="11"/>
  <c r="R921" i="11"/>
  <c r="R922" i="11"/>
  <c r="R923" i="11"/>
  <c r="R924" i="11"/>
  <c r="R925" i="11"/>
  <c r="R926" i="11"/>
  <c r="R927" i="11"/>
  <c r="R928" i="11"/>
  <c r="R929" i="11"/>
  <c r="R930" i="11"/>
  <c r="R931" i="11"/>
  <c r="R932" i="11"/>
  <c r="R933" i="11"/>
  <c r="R934" i="11"/>
  <c r="R935" i="11"/>
  <c r="R936" i="11"/>
  <c r="R937" i="11"/>
  <c r="R938" i="11"/>
  <c r="R939" i="11"/>
  <c r="R940" i="11"/>
  <c r="R941" i="11"/>
  <c r="R942" i="11"/>
  <c r="R943" i="11"/>
  <c r="R944" i="11"/>
  <c r="R945" i="11"/>
  <c r="R946" i="11"/>
  <c r="R947" i="11"/>
  <c r="R948" i="11"/>
  <c r="R949" i="11"/>
  <c r="R950" i="11"/>
  <c r="R951" i="11"/>
  <c r="R952" i="11"/>
  <c r="R953" i="11"/>
  <c r="R954" i="11"/>
  <c r="R955" i="11"/>
  <c r="R956" i="11"/>
  <c r="R957" i="11"/>
  <c r="R958" i="11"/>
  <c r="R959" i="11"/>
  <c r="R960" i="11"/>
  <c r="R961" i="11"/>
  <c r="R962" i="11"/>
  <c r="R963" i="11"/>
  <c r="R964" i="11"/>
  <c r="R965" i="11"/>
  <c r="R966" i="11"/>
  <c r="R967" i="11"/>
  <c r="R968" i="11"/>
  <c r="R969" i="11"/>
  <c r="R970" i="11"/>
  <c r="R971" i="11"/>
  <c r="R972" i="11"/>
  <c r="R973" i="11"/>
  <c r="R974" i="11"/>
  <c r="R975" i="11"/>
  <c r="R976" i="11"/>
  <c r="R977" i="11"/>
  <c r="R978" i="11"/>
  <c r="R979" i="11"/>
  <c r="R980" i="11"/>
  <c r="R981" i="11"/>
  <c r="R982" i="11"/>
  <c r="R983" i="11"/>
  <c r="R984" i="11"/>
  <c r="R985" i="11"/>
  <c r="R986" i="11"/>
  <c r="R987" i="11"/>
  <c r="R988" i="11"/>
  <c r="R989" i="11"/>
  <c r="R990" i="11"/>
  <c r="R991" i="11"/>
  <c r="R992" i="11"/>
  <c r="R993" i="11"/>
  <c r="R994" i="11"/>
  <c r="R995" i="11"/>
  <c r="R996" i="11"/>
  <c r="R997" i="11"/>
  <c r="R998" i="11"/>
  <c r="R999" i="11"/>
  <c r="R1000" i="11"/>
  <c r="R1001" i="11"/>
  <c r="R1002" i="11"/>
  <c r="R1003" i="11"/>
  <c r="R1004" i="11"/>
  <c r="R1005" i="11"/>
  <c r="R1006" i="11"/>
  <c r="R1007" i="11"/>
  <c r="R1008" i="11"/>
  <c r="R1009" i="11"/>
  <c r="R1010" i="11"/>
  <c r="R1011" i="11"/>
  <c r="R1012" i="11"/>
  <c r="R1013" i="11"/>
  <c r="R1014" i="11"/>
  <c r="R1015" i="11"/>
  <c r="R1016" i="11"/>
  <c r="P3" i="1"/>
  <c r="P4" i="1"/>
  <c r="P5" i="1"/>
  <c r="P6" i="1"/>
  <c r="P7" i="1"/>
  <c r="P8" i="1"/>
  <c r="P9" i="1"/>
  <c r="P10" i="1"/>
  <c r="P11" i="1"/>
  <c r="P12" i="1"/>
  <c r="P13" i="1"/>
  <c r="P14" i="1"/>
  <c r="P15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N3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N4" i="1"/>
  <c r="N5" i="1"/>
  <c r="N6" i="1"/>
  <c r="N7" i="1"/>
  <c r="N8" i="1"/>
  <c r="N9" i="1"/>
  <c r="N10" i="1"/>
  <c r="N11" i="1"/>
  <c r="N12" i="1"/>
  <c r="N13" i="1"/>
  <c r="N14" i="1"/>
  <c r="N15" i="1"/>
  <c r="T3" i="1"/>
  <c r="U3" i="1" s="1"/>
  <c r="T4" i="1"/>
  <c r="U4" i="1" s="1"/>
  <c r="T5" i="1"/>
  <c r="U5" i="1" s="1"/>
  <c r="T6" i="1"/>
  <c r="U6" i="1" s="1"/>
  <c r="T7" i="1"/>
  <c r="U7" i="1" s="1"/>
  <c r="T8" i="1"/>
  <c r="U8" i="1" s="1"/>
  <c r="T9" i="1"/>
  <c r="U9" i="1" s="1"/>
  <c r="T10" i="1"/>
  <c r="U10" i="1" s="1"/>
  <c r="T11" i="1"/>
  <c r="U11" i="1" s="1"/>
  <c r="T12" i="1"/>
  <c r="U12" i="1" s="1"/>
  <c r="T13" i="1"/>
  <c r="U13" i="1" s="1"/>
  <c r="T14" i="1"/>
  <c r="U14" i="1" s="1"/>
  <c r="T15" i="1"/>
  <c r="U15" i="1" s="1"/>
  <c r="F13" i="7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L13" i="1"/>
  <c r="B2" i="7"/>
  <c r="B3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G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F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L2" i="1"/>
  <c r="L3" i="1"/>
  <c r="L4" i="1"/>
  <c r="L5" i="1"/>
  <c r="L6" i="1"/>
  <c r="L7" i="1"/>
  <c r="L8" i="1"/>
  <c r="L9" i="1"/>
  <c r="L10" i="1"/>
  <c r="L11" i="1"/>
  <c r="L12" i="1"/>
  <c r="L14" i="1"/>
  <c r="L15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F4" i="1"/>
  <c r="F5" i="1"/>
  <c r="F6" i="1"/>
  <c r="F7" i="1"/>
  <c r="F8" i="1"/>
  <c r="F9" i="1"/>
  <c r="F10" i="1"/>
  <c r="F11" i="1"/>
  <c r="C2" i="7" s="1"/>
  <c r="F12" i="1"/>
  <c r="C3" i="7" s="1"/>
  <c r="F13" i="1"/>
  <c r="C4" i="7" s="1"/>
  <c r="F14" i="1"/>
  <c r="C5" i="7" s="1"/>
  <c r="F15" i="1"/>
  <c r="C6" i="7" s="1"/>
  <c r="F3" i="1"/>
  <c r="B4" i="7"/>
  <c r="B5" i="7"/>
  <c r="B6" i="7"/>
  <c r="C9" i="9" a="1"/>
  <c r="C8" i="9" a="1"/>
  <c r="C7" i="9" a="1"/>
  <c r="C6" i="9" a="1"/>
  <c r="C5" i="9" a="1"/>
  <c r="C4" i="9" a="1"/>
  <c r="C3" i="9" a="1"/>
  <c r="C2" i="9" a="1"/>
  <c r="D2" i="5"/>
  <c r="E2" i="5" s="1"/>
  <c r="C2" i="5"/>
  <c r="B2" i="5"/>
  <c r="T2" i="1" l="1"/>
  <c r="K5" i="7"/>
  <c r="N5" i="7"/>
  <c r="K6" i="7"/>
  <c r="N6" i="7"/>
  <c r="K2" i="7"/>
  <c r="N2" i="7"/>
  <c r="U2" i="1" s="1"/>
  <c r="K3" i="7"/>
  <c r="N3" i="7"/>
  <c r="K4" i="7"/>
  <c r="N4" i="7"/>
  <c r="M4" i="7"/>
  <c r="G4" i="7"/>
  <c r="E4" i="7"/>
  <c r="J4" i="7"/>
  <c r="I4" i="7"/>
  <c r="H4" i="7"/>
  <c r="F4" i="7"/>
  <c r="D4" i="7"/>
  <c r="J5" i="7"/>
  <c r="I5" i="7"/>
  <c r="H5" i="7"/>
  <c r="F5" i="7"/>
  <c r="D5" i="7"/>
  <c r="M5" i="7"/>
  <c r="G5" i="7"/>
  <c r="E5" i="7"/>
  <c r="J6" i="7"/>
  <c r="M6" i="7"/>
  <c r="G6" i="7"/>
  <c r="E6" i="7"/>
  <c r="D6" i="7"/>
  <c r="I6" i="7"/>
  <c r="H6" i="7"/>
  <c r="F6" i="7"/>
  <c r="J2" i="7"/>
  <c r="I2" i="7"/>
  <c r="M2" i="7"/>
  <c r="I3" i="7"/>
  <c r="J3" i="7"/>
  <c r="M3" i="7"/>
  <c r="E2" i="7"/>
  <c r="G2" i="7"/>
  <c r="H2" i="7"/>
  <c r="F2" i="7"/>
  <c r="D2" i="7"/>
  <c r="L2" i="7"/>
  <c r="H3" i="7"/>
  <c r="G3" i="7"/>
  <c r="E3" i="7"/>
  <c r="F3" i="7"/>
  <c r="L3" i="7"/>
  <c r="D3" i="7"/>
  <c r="L4" i="7"/>
  <c r="L5" i="7"/>
  <c r="L6" i="7"/>
  <c r="O5" i="7" l="1"/>
  <c r="O6" i="7"/>
  <c r="O2" i="7"/>
  <c r="O3" i="7"/>
  <c r="O4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C466E6-2624-48FB-BB56-6C5610436C4D}" keepAlive="1" name="Consulta - tbl_de_massas(1)" description="Conexão com a consulta 'tbl_de_massas' na pasta de trabalho." type="5" refreshedVersion="8" background="1" saveData="1">
    <dbPr connection="Provider=Microsoft.Mashup.OleDb.1;Data Source=$Workbook$;Location=tbl_de_massas;Extended Properties=&quot;&quot;" command="SELECT * FROM [tbl_de_massa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<sst xmlns="http://schemas.openxmlformats.org/spreadsheetml/2006/main" count="13302" uniqueCount="5913">
  <si>
    <t>SEQ</t>
  </si>
  <si>
    <t>ID_CENARIO</t>
  </si>
  <si>
    <t>NOME</t>
  </si>
  <si>
    <t>FEATURE</t>
  </si>
  <si>
    <t>ID_MASSA</t>
  </si>
  <si>
    <t>CPF</t>
  </si>
  <si>
    <t>SENHA</t>
  </si>
  <si>
    <t>cadastrar</t>
  </si>
  <si>
    <t>Criar um novo usuário e validar login/perfil (CT00)</t>
  </si>
  <si>
    <t>usuario</t>
  </si>
  <si>
    <t>C_0025</t>
  </si>
  <si>
    <t>87533086465</t>
  </si>
  <si>
    <t>admin999</t>
  </si>
  <si>
    <t>CT01.2</t>
  </si>
  <si>
    <t>Fazer login como Admin</t>
  </si>
  <si>
    <t>0001</t>
  </si>
  <si>
    <t>CT01.3</t>
  </si>
  <si>
    <t>Fazer login como Cliente</t>
  </si>
  <si>
    <t>0002</t>
  </si>
  <si>
    <t>CT01.4</t>
  </si>
  <si>
    <t>Validar campo obrigatório</t>
  </si>
  <si>
    <t>0003</t>
  </si>
  <si>
    <t>CT01.5</t>
  </si>
  <si>
    <t>Validar campo obrigatório senha</t>
  </si>
  <si>
    <t>0004</t>
  </si>
  <si>
    <t>CT01.6</t>
  </si>
  <si>
    <t>Validar campo obrigatório CPF</t>
  </si>
  <si>
    <t>0005</t>
  </si>
  <si>
    <t>CT03.1</t>
  </si>
  <si>
    <t>0070</t>
  </si>
  <si>
    <t>NOME_COMPLETO</t>
  </si>
  <si>
    <t>NOME_USUARIO</t>
  </si>
  <si>
    <t>EMAIL</t>
  </si>
  <si>
    <t>TELEFONE</t>
  </si>
  <si>
    <t>CEP</t>
  </si>
  <si>
    <t>RUA</t>
  </si>
  <si>
    <t>NUMERO</t>
  </si>
  <si>
    <t>BAIRRO</t>
  </si>
  <si>
    <t>CIDADE</t>
  </si>
  <si>
    <t>ESTADO</t>
  </si>
  <si>
    <t>PAIS</t>
  </si>
  <si>
    <t>DATA_NASCIMENTO</t>
  </si>
  <si>
    <t>BANDEIRA_CARTAO</t>
  </si>
  <si>
    <t>TIER_CARTAO</t>
  </si>
  <si>
    <t>DIA_VENCIMENTO</t>
  </si>
  <si>
    <t>NOME_IMPRESSO</t>
  </si>
  <si>
    <t>PLANO_CONTA</t>
  </si>
  <si>
    <t>CHAVE_PIX</t>
  </si>
  <si>
    <t>NOME_TUTOR</t>
  </si>
  <si>
    <t>CPF_TUTOR</t>
  </si>
  <si>
    <t>C_0001</t>
  </si>
  <si>
    <t>Heitor Martins</t>
  </si>
  <si>
    <t>heitor.martins</t>
  </si>
  <si>
    <t>martins.heitor@aol.com</t>
  </si>
  <si>
    <t>56420899325</t>
  </si>
  <si>
    <t>00891426</t>
  </si>
  <si>
    <t>Rodovia Albuquerque</t>
  </si>
  <si>
    <t>1437</t>
  </si>
  <si>
    <t>Merseyside</t>
  </si>
  <si>
    <t>Yasmin do Norte</t>
  </si>
  <si>
    <t>TO</t>
  </si>
  <si>
    <t>Brasil</t>
  </si>
  <si>
    <t>2005-01-24</t>
  </si>
  <si>
    <t>HIPERCARD</t>
  </si>
  <si>
    <t>PLATINUM</t>
  </si>
  <si>
    <t>HEITOR MARTINS</t>
  </si>
  <si>
    <t>PRO</t>
  </si>
  <si>
    <t/>
  </si>
  <si>
    <t>C_0002</t>
  </si>
  <si>
    <t>Dalila Pereira</t>
  </si>
  <si>
    <t>dalila.pereira</t>
  </si>
  <si>
    <t>pereira.dalila@ig.com.br</t>
  </si>
  <si>
    <t>34830475226</t>
  </si>
  <si>
    <t>554698529997</t>
  </si>
  <si>
    <t>98299314</t>
  </si>
  <si>
    <t>Avenida Elisa</t>
  </si>
  <si>
    <t>154</t>
  </si>
  <si>
    <t>Clwyd</t>
  </si>
  <si>
    <t>Moraes do Descoberto</t>
  </si>
  <si>
    <t>MG</t>
  </si>
  <si>
    <t>1981-11-13</t>
  </si>
  <si>
    <t>MASTERCARD</t>
  </si>
  <si>
    <t>GOLD</t>
  </si>
  <si>
    <t>DALILA PEREIRA</t>
  </si>
  <si>
    <t>FREE</t>
  </si>
  <si>
    <t>C_0003</t>
  </si>
  <si>
    <t>Pedro Nogueira</t>
  </si>
  <si>
    <t>pedro.nogueira</t>
  </si>
  <si>
    <t>nogueira.pedro@gmail.com</t>
  </si>
  <si>
    <t>00273860585</t>
  </si>
  <si>
    <t>0790748120</t>
  </si>
  <si>
    <t>58763017</t>
  </si>
  <si>
    <t>Rua Carvalho</t>
  </si>
  <si>
    <t>3975</t>
  </si>
  <si>
    <t>Borders</t>
  </si>
  <si>
    <t>Rafael do Norte</t>
  </si>
  <si>
    <t>RS</t>
  </si>
  <si>
    <t>1992-09-22</t>
  </si>
  <si>
    <t>BLACK</t>
  </si>
  <si>
    <t>PEDRO NOGUEIRA</t>
  </si>
  <si>
    <t>C_0004</t>
  </si>
  <si>
    <t>Fabricio Braga</t>
  </si>
  <si>
    <t>fabricio.braga</t>
  </si>
  <si>
    <t>braga.fabricio@hotmail.com</t>
  </si>
  <si>
    <t>37044231578</t>
  </si>
  <si>
    <t>8630352043</t>
  </si>
  <si>
    <t>39563022</t>
  </si>
  <si>
    <t>Rua Braga</t>
  </si>
  <si>
    <t>9008</t>
  </si>
  <si>
    <t>Shropshire</t>
  </si>
  <si>
    <t>Marcos de Nossa Senhora</t>
  </si>
  <si>
    <t>PA</t>
  </si>
  <si>
    <t>1971-12-15</t>
  </si>
  <si>
    <t>AMEX</t>
  </si>
  <si>
    <t>FABRICIO BRAGA</t>
  </si>
  <si>
    <t>C_0005</t>
  </si>
  <si>
    <t>Washington Oliveira</t>
  </si>
  <si>
    <t>washington.oliveira</t>
  </si>
  <si>
    <t>oliveira.washington@fastmail.com</t>
  </si>
  <si>
    <t>95860922590</t>
  </si>
  <si>
    <t>552481499689</t>
  </si>
  <si>
    <t>26486797</t>
  </si>
  <si>
    <t>Marginal Liz</t>
  </si>
  <si>
    <t>27740</t>
  </si>
  <si>
    <t>Lancashire</t>
  </si>
  <si>
    <t>Moraes do Sul</t>
  </si>
  <si>
    <t>AP</t>
  </si>
  <si>
    <t>1967-03-04</t>
  </si>
  <si>
    <t>WASHINGTON OLIVEIRA</t>
  </si>
  <si>
    <t>C_0006</t>
  </si>
  <si>
    <t>Julia Reis</t>
  </si>
  <si>
    <t>julia.reis</t>
  </si>
  <si>
    <t>reis.julia@yahoo.com</t>
  </si>
  <si>
    <t>53043536762</t>
  </si>
  <si>
    <t>6784601710</t>
  </si>
  <si>
    <t>54404076</t>
  </si>
  <si>
    <t>Travessa Barros</t>
  </si>
  <si>
    <t>2409</t>
  </si>
  <si>
    <t>Rutland</t>
  </si>
  <si>
    <t>Pereira do Sul</t>
  </si>
  <si>
    <t>PI</t>
  </si>
  <si>
    <t>1980-08-08</t>
  </si>
  <si>
    <t>VISA</t>
  </si>
  <si>
    <t>BRONZE</t>
  </si>
  <si>
    <t>JULIA REIS</t>
  </si>
  <si>
    <t>C_0007</t>
  </si>
  <si>
    <t>Morgana Macedo</t>
  </si>
  <si>
    <t>morgana.macedo</t>
  </si>
  <si>
    <t>macedo.morgana@bol.com.br</t>
  </si>
  <si>
    <t>05043431814</t>
  </si>
  <si>
    <t>559327478560</t>
  </si>
  <si>
    <t>52723950</t>
  </si>
  <si>
    <t>Alameda Reis</t>
  </si>
  <si>
    <t>3038</t>
  </si>
  <si>
    <t>County Fermanagh</t>
  </si>
  <si>
    <t>Lara de Nossa Senhora</t>
  </si>
  <si>
    <t>RO</t>
  </si>
  <si>
    <t>1987-03-28</t>
  </si>
  <si>
    <t>MORGANA MACEDO</t>
  </si>
  <si>
    <t>VIP_BLACK</t>
  </si>
  <si>
    <t>C_0008</t>
  </si>
  <si>
    <t>Tertuliano Silva</t>
  </si>
  <si>
    <t>tertuliano.silva</t>
  </si>
  <si>
    <t>silva.tertuliano@yahoo.com</t>
  </si>
  <si>
    <t>95962548205</t>
  </si>
  <si>
    <t>557697696713</t>
  </si>
  <si>
    <t>34993611</t>
  </si>
  <si>
    <t>Marginal Xavier</t>
  </si>
  <si>
    <t>369</t>
  </si>
  <si>
    <t>Lincolnshire</t>
  </si>
  <si>
    <t>Tertuliano de Nossa Senhora</t>
  </si>
  <si>
    <t>SE</t>
  </si>
  <si>
    <t>1985-03-27</t>
  </si>
  <si>
    <t>ELO</t>
  </si>
  <si>
    <t>TERTULIANO SILVA</t>
  </si>
  <si>
    <t>C_0009</t>
  </si>
  <si>
    <t>Alicia Moraes</t>
  </si>
  <si>
    <t>alicia.moraes</t>
  </si>
  <si>
    <t>moraes.alicia@live.com</t>
  </si>
  <si>
    <t>17763275197</t>
  </si>
  <si>
    <t>0519414664</t>
  </si>
  <si>
    <t>37604425</t>
  </si>
  <si>
    <t>Alameda Silva</t>
  </si>
  <si>
    <t>7647</t>
  </si>
  <si>
    <t>Wiltshire</t>
  </si>
  <si>
    <t>Costa do Sul</t>
  </si>
  <si>
    <t>AM</t>
  </si>
  <si>
    <t>1981-04-18</t>
  </si>
  <si>
    <t>ALICIA MORAES</t>
  </si>
  <si>
    <t>C_0010</t>
  </si>
  <si>
    <t>Sarah Reis</t>
  </si>
  <si>
    <t>sarah.reis</t>
  </si>
  <si>
    <t>reis.sarah@inbox.com</t>
  </si>
  <si>
    <t>38839254897</t>
  </si>
  <si>
    <t>554970824925</t>
  </si>
  <si>
    <t>32799143</t>
  </si>
  <si>
    <t>Rodovia Macedo</t>
  </si>
  <si>
    <t>278</t>
  </si>
  <si>
    <t>Batista do Norte</t>
  </si>
  <si>
    <t>CE</t>
  </si>
  <si>
    <t>1972-12-10</t>
  </si>
  <si>
    <t>SARAH REIS</t>
  </si>
  <si>
    <t>C_0011</t>
  </si>
  <si>
    <t>Marcelo Pereira</t>
  </si>
  <si>
    <t>marcelo.pereira</t>
  </si>
  <si>
    <t>pereira.marcelo@protonmail.com</t>
  </si>
  <si>
    <t>52337380742</t>
  </si>
  <si>
    <t>3914372642</t>
  </si>
  <si>
    <t>62858541</t>
  </si>
  <si>
    <t>Marginal Oliveira</t>
  </si>
  <si>
    <t>17383</t>
  </si>
  <si>
    <t>Powys</t>
  </si>
  <si>
    <t>Braga de Nossa Senhora</t>
  </si>
  <si>
    <t>GO</t>
  </si>
  <si>
    <t>2001-02-26</t>
  </si>
  <si>
    <t>MARCELO PEREIRA</t>
  </si>
  <si>
    <t>C_0012</t>
  </si>
  <si>
    <t>Salvador Batista</t>
  </si>
  <si>
    <t>salvador.batista</t>
  </si>
  <si>
    <t>batista.salvador@me.com</t>
  </si>
  <si>
    <t>88816631805</t>
  </si>
  <si>
    <t>9870437726</t>
  </si>
  <si>
    <t>82292891</t>
  </si>
  <si>
    <t>Rua Reis</t>
  </si>
  <si>
    <t>31995</t>
  </si>
  <si>
    <t>Johnson County</t>
  </si>
  <si>
    <t>Noah do Descoberto</t>
  </si>
  <si>
    <t>RJ</t>
  </si>
  <si>
    <t>2008-08-10</t>
  </si>
  <si>
    <t>SALVADOR BATISTA</t>
  </si>
  <si>
    <t>C_0013</t>
  </si>
  <si>
    <t>Nubia Santos</t>
  </si>
  <si>
    <t>nubia.santos</t>
  </si>
  <si>
    <t>santos.nubia@ig.com.br</t>
  </si>
  <si>
    <t>04828847626</t>
  </si>
  <si>
    <t>6642266225</t>
  </si>
  <si>
    <t>66885427</t>
  </si>
  <si>
    <t>Alameda Pereira</t>
  </si>
  <si>
    <t>23960</t>
  </si>
  <si>
    <t>Calhoun County</t>
  </si>
  <si>
    <t>Salvador do Descoberto</t>
  </si>
  <si>
    <t>MA</t>
  </si>
  <si>
    <t>1996-06-02</t>
  </si>
  <si>
    <t>NUBIA SANTOS</t>
  </si>
  <si>
    <t>C_0014</t>
  </si>
  <si>
    <t>Alicia Batista</t>
  </si>
  <si>
    <t>alicia.batista</t>
  </si>
  <si>
    <t>batista.alicia@yandex.com</t>
  </si>
  <si>
    <t>41998978958</t>
  </si>
  <si>
    <t>4064237944</t>
  </si>
  <si>
    <t>25434957</t>
  </si>
  <si>
    <t>Rua Franco</t>
  </si>
  <si>
    <t>3572</t>
  </si>
  <si>
    <t>West Yorkshire</t>
  </si>
  <si>
    <t>Costa do Norte</t>
  </si>
  <si>
    <t>2008-03-15</t>
  </si>
  <si>
    <t>ALICIA BATISTA</t>
  </si>
  <si>
    <t>C_0015</t>
  </si>
  <si>
    <t>Isadora Moraes</t>
  </si>
  <si>
    <t>isadora.moraes</t>
  </si>
  <si>
    <t>moraes.isadora@outlook.com</t>
  </si>
  <si>
    <t>74459209438</t>
  </si>
  <si>
    <t>55576172424</t>
  </si>
  <si>
    <t>45740060</t>
  </si>
  <si>
    <t>Travessa Paula</t>
  </si>
  <si>
    <t>1997</t>
  </si>
  <si>
    <t>Nataniel de Nossa Senhora</t>
  </si>
  <si>
    <t>PR</t>
  </si>
  <si>
    <t>1989-08-01</t>
  </si>
  <si>
    <t>ISADORA MORAES</t>
  </si>
  <si>
    <t>C_0016</t>
  </si>
  <si>
    <t>Marcela Franco</t>
  </si>
  <si>
    <t>marcela.franco</t>
  </si>
  <si>
    <t>franco.marcela@hotmail.com</t>
  </si>
  <si>
    <t>84291097735</t>
  </si>
  <si>
    <t>29204414704</t>
  </si>
  <si>
    <t>35228666</t>
  </si>
  <si>
    <t>Alameda Batista</t>
  </si>
  <si>
    <t>14798</t>
  </si>
  <si>
    <t>Grampian</t>
  </si>
  <si>
    <t>Batista de Nossa Senhora</t>
  </si>
  <si>
    <t>1989-01-31</t>
  </si>
  <si>
    <t>MARCELA FRANCO</t>
  </si>
  <si>
    <t>C_0017</t>
  </si>
  <si>
    <t>Elisa Silva</t>
  </si>
  <si>
    <t>elisa.silva</t>
  </si>
  <si>
    <t>silva.elisa@me.com</t>
  </si>
  <si>
    <t>08774055496</t>
  </si>
  <si>
    <t>553491982350</t>
  </si>
  <si>
    <t>52132899</t>
  </si>
  <si>
    <t>Rodovia Tertuliano</t>
  </si>
  <si>
    <t>70093</t>
  </si>
  <si>
    <t>Carroll County</t>
  </si>
  <si>
    <t>Maria Alice do Sul</t>
  </si>
  <si>
    <t>1975-10-08</t>
  </si>
  <si>
    <t>ELISA SILVA</t>
  </si>
  <si>
    <t>C_0018</t>
  </si>
  <si>
    <t>Maite Melo</t>
  </si>
  <si>
    <t>maite.melo</t>
  </si>
  <si>
    <t>melo.maite@protonmail.com</t>
  </si>
  <si>
    <t>87753560905</t>
  </si>
  <si>
    <t>557175134774</t>
  </si>
  <si>
    <t>71448119</t>
  </si>
  <si>
    <t>Alameda Moreira</t>
  </si>
  <si>
    <t>66534</t>
  </si>
  <si>
    <t>Suffolk</t>
  </si>
  <si>
    <t>Moraes do Norte</t>
  </si>
  <si>
    <t>1967-06-26</t>
  </si>
  <si>
    <t>MAITE MELO</t>
  </si>
  <si>
    <t>C_0019</t>
  </si>
  <si>
    <t>Marcos Xavier</t>
  </si>
  <si>
    <t>marcos.xavier</t>
  </si>
  <si>
    <t>xavier.marcos@uol.com.br</t>
  </si>
  <si>
    <t>66728984097</t>
  </si>
  <si>
    <t>550192509755</t>
  </si>
  <si>
    <t>03056180</t>
  </si>
  <si>
    <t>Marginal Carla</t>
  </si>
  <si>
    <t>84443</t>
  </si>
  <si>
    <t>Surrey</t>
  </si>
  <si>
    <t>Ana Clara de Nossa Senhora</t>
  </si>
  <si>
    <t>DF</t>
  </si>
  <si>
    <t>1971-08-01</t>
  </si>
  <si>
    <t>MARCOS XAVIER</t>
  </si>
  <si>
    <t>C_0020</t>
  </si>
  <si>
    <t>Livia Reis</t>
  </si>
  <si>
    <t>livia.reis</t>
  </si>
  <si>
    <t>reis.livia@mail.com</t>
  </si>
  <si>
    <t>77962452706</t>
  </si>
  <si>
    <t>28151439687</t>
  </si>
  <si>
    <t>21793768</t>
  </si>
  <si>
    <t>Rua Souza</t>
  </si>
  <si>
    <t>69843</t>
  </si>
  <si>
    <t>North Yorkshire</t>
  </si>
  <si>
    <t>Batista do Descoberto</t>
  </si>
  <si>
    <t>1985-04-16</t>
  </si>
  <si>
    <t>LIVIA REIS</t>
  </si>
  <si>
    <t>C_0021</t>
  </si>
  <si>
    <t>Natalia Batista</t>
  </si>
  <si>
    <t>natalia.batista</t>
  </si>
  <si>
    <t>batista.natalia@inbox.com</t>
  </si>
  <si>
    <t>22292775450</t>
  </si>
  <si>
    <t>7898701076</t>
  </si>
  <si>
    <t>68679493</t>
  </si>
  <si>
    <t>Marginal Moreira</t>
  </si>
  <si>
    <t>7370</t>
  </si>
  <si>
    <t>Cornwall</t>
  </si>
  <si>
    <t>Murilo de Nossa Senhora</t>
  </si>
  <si>
    <t>BA</t>
  </si>
  <si>
    <t>1976-12-23</t>
  </si>
  <si>
    <t>NATALIA BATISTA</t>
  </si>
  <si>
    <t>C_0022</t>
  </si>
  <si>
    <t>Vitoria Souza</t>
  </si>
  <si>
    <t>vitoria.souza</t>
  </si>
  <si>
    <t>souza.vitoria@bol.com.br</t>
  </si>
  <si>
    <t>91516343689</t>
  </si>
  <si>
    <t>21662579695</t>
  </si>
  <si>
    <t>55410691</t>
  </si>
  <si>
    <t>Rodovia Bruna</t>
  </si>
  <si>
    <t>784</t>
  </si>
  <si>
    <t>West Glamorgan</t>
  </si>
  <si>
    <t>Pereira do Descoberto</t>
  </si>
  <si>
    <t>PE</t>
  </si>
  <si>
    <t>1980-05-18</t>
  </si>
  <si>
    <t>VITORIA SOUZA</t>
  </si>
  <si>
    <t>C_0023</t>
  </si>
  <si>
    <t>Daniel Moraes</t>
  </si>
  <si>
    <t>daniel.moraes</t>
  </si>
  <si>
    <t>moraes.daniel@yahoo.com</t>
  </si>
  <si>
    <t>19423379818</t>
  </si>
  <si>
    <t>50354282331</t>
  </si>
  <si>
    <t>79383469</t>
  </si>
  <si>
    <t>Travessa Emanuelly</t>
  </si>
  <si>
    <t>42604</t>
  </si>
  <si>
    <t>County Londonderry</t>
  </si>
  <si>
    <t>Davi de Nossa Senhora</t>
  </si>
  <si>
    <t>2005-11-21</t>
  </si>
  <si>
    <t>DANIEL MORAES</t>
  </si>
  <si>
    <t>C_0024</t>
  </si>
  <si>
    <t>Lorenzo Nogueira</t>
  </si>
  <si>
    <t>lorenzo.nogueira</t>
  </si>
  <si>
    <t>nogueira.lorenzo@protonmail.com</t>
  </si>
  <si>
    <t>16174948285</t>
  </si>
  <si>
    <t>557960386071</t>
  </si>
  <si>
    <t>38288825</t>
  </si>
  <si>
    <t>Rua Julio Cesar</t>
  </si>
  <si>
    <t>618</t>
  </si>
  <si>
    <t>Jackson County</t>
  </si>
  <si>
    <t>Oliveira de Nossa Senhora</t>
  </si>
  <si>
    <t>PB</t>
  </si>
  <si>
    <t>1997-03-11</t>
  </si>
  <si>
    <t>LORENZO NOGUEIRA</t>
  </si>
  <si>
    <t>Rafael Saraiva</t>
  </si>
  <si>
    <t>rafael.saraiva</t>
  </si>
  <si>
    <t>saraiva.rafael@live.com</t>
  </si>
  <si>
    <t>26231878783</t>
  </si>
  <si>
    <t>54434742802</t>
  </si>
  <si>
    <t>96746965</t>
  </si>
  <si>
    <t>Alameda Ofelia</t>
  </si>
  <si>
    <t>1825</t>
  </si>
  <si>
    <t>Somerset</t>
  </si>
  <si>
    <t>Santos do Norte</t>
  </si>
  <si>
    <t>1973-02-21</t>
  </si>
  <si>
    <t>RAFAEL SARAIVA</t>
  </si>
  <si>
    <t>C_0026</t>
  </si>
  <si>
    <t>silva.elisa@inbox.com</t>
  </si>
  <si>
    <t>24048030850</t>
  </si>
  <si>
    <t>556973867510</t>
  </si>
  <si>
    <t>38869922</t>
  </si>
  <si>
    <t>Avenida Costa</t>
  </si>
  <si>
    <t>572</t>
  </si>
  <si>
    <t>Rebeca do Norte</t>
  </si>
  <si>
    <t>AC</t>
  </si>
  <si>
    <t>1974-05-19</t>
  </si>
  <si>
    <t>C_0027</t>
  </si>
  <si>
    <t>Giovanna Moraes</t>
  </si>
  <si>
    <t>giovanna.moraes</t>
  </si>
  <si>
    <t>moraes.giovanna@gmail.com</t>
  </si>
  <si>
    <t>45877859897</t>
  </si>
  <si>
    <t>4361296646</t>
  </si>
  <si>
    <t>27929047</t>
  </si>
  <si>
    <t>Avenida Batista</t>
  </si>
  <si>
    <t>2267</t>
  </si>
  <si>
    <t>Worcestershire</t>
  </si>
  <si>
    <t>Xavier de Nossa Senhora</t>
  </si>
  <si>
    <t>1981-07-27</t>
  </si>
  <si>
    <t>GIOVANNA MORAES</t>
  </si>
  <si>
    <t>C_0028</t>
  </si>
  <si>
    <t>Vitor Braga</t>
  </si>
  <si>
    <t>vitor.braga</t>
  </si>
  <si>
    <t>braga.vitor@live.com</t>
  </si>
  <si>
    <t>32436631727</t>
  </si>
  <si>
    <t>559288131582</t>
  </si>
  <si>
    <t>20084266</t>
  </si>
  <si>
    <t>Avenida Maite</t>
  </si>
  <si>
    <t>81322</t>
  </si>
  <si>
    <t>Albuquerque do Sul</t>
  </si>
  <si>
    <t>SP</t>
  </si>
  <si>
    <t>1998-10-11</t>
  </si>
  <si>
    <t>VITOR BRAGA</t>
  </si>
  <si>
    <t>C_0029</t>
  </si>
  <si>
    <t>Frederico Braga</t>
  </si>
  <si>
    <t>frederico.braga</t>
  </si>
  <si>
    <t>braga.frederico@aol.com</t>
  </si>
  <si>
    <t>42660591083</t>
  </si>
  <si>
    <t>88033536400</t>
  </si>
  <si>
    <t>11001069</t>
  </si>
  <si>
    <t>Avenida Manuela</t>
  </si>
  <si>
    <t>3915</t>
  </si>
  <si>
    <t>Dorset</t>
  </si>
  <si>
    <t>Miguel do Sul</t>
  </si>
  <si>
    <t>MS</t>
  </si>
  <si>
    <t>1986-10-24</t>
  </si>
  <si>
    <t>FREDERICO BRAGA</t>
  </si>
  <si>
    <t>C_0030</t>
  </si>
  <si>
    <t>Maria Clara Santos</t>
  </si>
  <si>
    <t>mariaclara.santos</t>
  </si>
  <si>
    <t>santos.mariaclara@icloud.com</t>
  </si>
  <si>
    <t>06183794953</t>
  </si>
  <si>
    <t>556028931494</t>
  </si>
  <si>
    <t>66464892</t>
  </si>
  <si>
    <t>Alameda Moraes</t>
  </si>
  <si>
    <t>366</t>
  </si>
  <si>
    <t>Heloisa do Norte</t>
  </si>
  <si>
    <t>1989-01-17</t>
  </si>
  <si>
    <t>MARIA CLARA SANTOS</t>
  </si>
  <si>
    <t>C_0031</t>
  </si>
  <si>
    <t>Maria Cecilia Pereira</t>
  </si>
  <si>
    <t>mariacecilia.pereira</t>
  </si>
  <si>
    <t>pereira.mariacecilia@outlook.com</t>
  </si>
  <si>
    <t>59411860109</t>
  </si>
  <si>
    <t>2084655440</t>
  </si>
  <si>
    <t>63062536</t>
  </si>
  <si>
    <t>Rodovia Eduardo</t>
  </si>
  <si>
    <t>460</t>
  </si>
  <si>
    <t>Franklin County</t>
  </si>
  <si>
    <t>Macedo do Sul</t>
  </si>
  <si>
    <t>1968-11-27</t>
  </si>
  <si>
    <t>MARIA CECILIA PEREIRA</t>
  </si>
  <si>
    <t>C_0032</t>
  </si>
  <si>
    <t>Beatriz Carvalho</t>
  </si>
  <si>
    <t>beatriz.carvalho</t>
  </si>
  <si>
    <t>carvalho.beatriz@yandex.com</t>
  </si>
  <si>
    <t>57582679709</t>
  </si>
  <si>
    <t>0155978166</t>
  </si>
  <si>
    <t>01902451</t>
  </si>
  <si>
    <t>Rua Saraiva</t>
  </si>
  <si>
    <t>884</t>
  </si>
  <si>
    <t>Moreira do Descoberto</t>
  </si>
  <si>
    <t>1999-06-09</t>
  </si>
  <si>
    <t>BEATRIZ CARVALHO</t>
  </si>
  <si>
    <t>C_0033</t>
  </si>
  <si>
    <t>Maria Luiza Melo</t>
  </si>
  <si>
    <t>marialuiza.melo</t>
  </si>
  <si>
    <t>melo.marialuiza@bol.com.br</t>
  </si>
  <si>
    <t>29382616403</t>
  </si>
  <si>
    <t>31369454536</t>
  </si>
  <si>
    <t>43355604</t>
  </si>
  <si>
    <t>Marginal Lorraine</t>
  </si>
  <si>
    <t>5171</t>
  </si>
  <si>
    <t>Tayside</t>
  </si>
  <si>
    <t>Fabricio do Descoberto</t>
  </si>
  <si>
    <t>1976-04-04</t>
  </si>
  <si>
    <t>MARIA LUIZA MELO</t>
  </si>
  <si>
    <t>C_0034</t>
  </si>
  <si>
    <t>Gustavo Barros</t>
  </si>
  <si>
    <t>gustavo.barros</t>
  </si>
  <si>
    <t>barros.gustavo@terra.com.br</t>
  </si>
  <si>
    <t>00724924906</t>
  </si>
  <si>
    <t>555858456862</t>
  </si>
  <si>
    <t>13642506</t>
  </si>
  <si>
    <t>Rodovia Antonio</t>
  </si>
  <si>
    <t>59339</t>
  </si>
  <si>
    <t>Cumbria</t>
  </si>
  <si>
    <t>Eloa do Norte</t>
  </si>
  <si>
    <t>RN</t>
  </si>
  <si>
    <t>1986-04-27</t>
  </si>
  <si>
    <t>GUSTAVO BARROS</t>
  </si>
  <si>
    <t>C_0035</t>
  </si>
  <si>
    <t>Maria Julia Barros</t>
  </si>
  <si>
    <t>mariajulia.barros</t>
  </si>
  <si>
    <t>barros.mariajulia@yandex.com</t>
  </si>
  <si>
    <t>57284832320</t>
  </si>
  <si>
    <t>9586061097</t>
  </si>
  <si>
    <t>52840179</t>
  </si>
  <si>
    <t>393</t>
  </si>
  <si>
    <t>Nottinghamshire</t>
  </si>
  <si>
    <t>Morgana do Descoberto</t>
  </si>
  <si>
    <t>1981-01-12</t>
  </si>
  <si>
    <t>MARIA JULIA BARROS</t>
  </si>
  <si>
    <t>C_0036</t>
  </si>
  <si>
    <t>Davi Lucca Franco</t>
  </si>
  <si>
    <t>davilucca.franco</t>
  </si>
  <si>
    <t>franco.davilucca@gmx.com</t>
  </si>
  <si>
    <t>51560770309</t>
  </si>
  <si>
    <t>551844217899</t>
  </si>
  <si>
    <t>78530521</t>
  </si>
  <si>
    <t>Alameda Albuquerque</t>
  </si>
  <si>
    <t>34472</t>
  </si>
  <si>
    <t>Hamilton County</t>
  </si>
  <si>
    <t>Martins do Sul</t>
  </si>
  <si>
    <t>1993-05-05</t>
  </si>
  <si>
    <t>DAVI LUCCA FRANCO</t>
  </si>
  <si>
    <t>C_0037</t>
  </si>
  <si>
    <t>Felicia Albuquerque</t>
  </si>
  <si>
    <t>felicia.albuquerque</t>
  </si>
  <si>
    <t>albuquerque.felicia@gmx.com</t>
  </si>
  <si>
    <t>00837240441</t>
  </si>
  <si>
    <t>559311408151</t>
  </si>
  <si>
    <t>54364944</t>
  </si>
  <si>
    <t>Rodovia Emanuel</t>
  </si>
  <si>
    <t>370</t>
  </si>
  <si>
    <t>Highlands and Islands</t>
  </si>
  <si>
    <t>Davi Lucca de Nossa Senhora</t>
  </si>
  <si>
    <t>2007-04-23</t>
  </si>
  <si>
    <t>FELICIA ALBUQUERQUE</t>
  </si>
  <si>
    <t>C_0038</t>
  </si>
  <si>
    <t>Maria Barros</t>
  </si>
  <si>
    <t>maria.barros</t>
  </si>
  <si>
    <t>barros.maria@protonmail.com</t>
  </si>
  <si>
    <t>72983191672</t>
  </si>
  <si>
    <t>0594264271</t>
  </si>
  <si>
    <t>63368992</t>
  </si>
  <si>
    <t>Avenida Caua</t>
  </si>
  <si>
    <t>6080</t>
  </si>
  <si>
    <t>Nubia do Sul</t>
  </si>
  <si>
    <t>1991-02-16</t>
  </si>
  <si>
    <t>MARIA BARROS</t>
  </si>
  <si>
    <t>C_0039</t>
  </si>
  <si>
    <t>Alice Braga</t>
  </si>
  <si>
    <t>alice.braga</t>
  </si>
  <si>
    <t>braga.alice@gmx.com</t>
  </si>
  <si>
    <t>64448809633</t>
  </si>
  <si>
    <t>557394088134</t>
  </si>
  <si>
    <t>05779618</t>
  </si>
  <si>
    <t>Avenida Pereira</t>
  </si>
  <si>
    <t>99402</t>
  </si>
  <si>
    <t>Souza do Sul</t>
  </si>
  <si>
    <t>RR</t>
  </si>
  <si>
    <t>1999-07-12</t>
  </si>
  <si>
    <t>ALICE BRAGA</t>
  </si>
  <si>
    <t>C_0040</t>
  </si>
  <si>
    <t>Ladislau Albuquerque</t>
  </si>
  <si>
    <t>ladislau.albuquerque</t>
  </si>
  <si>
    <t>albuquerque.ladislau@bol.com.br</t>
  </si>
  <si>
    <t>04908739870</t>
  </si>
  <si>
    <t>69620076494</t>
  </si>
  <si>
    <t>35738936</t>
  </si>
  <si>
    <t>Avenida Lorraine</t>
  </si>
  <si>
    <t>839</t>
  </si>
  <si>
    <t>Gwynedd County</t>
  </si>
  <si>
    <t>Julia do Norte</t>
  </si>
  <si>
    <t>1982-01-21</t>
  </si>
  <si>
    <t>LADISLAU ALBUQUERQUE</t>
  </si>
  <si>
    <t>C_0041</t>
  </si>
  <si>
    <t>Alicia Oliveira</t>
  </si>
  <si>
    <t>alicia.oliveira</t>
  </si>
  <si>
    <t>oliveira.alicia@hotmail.com</t>
  </si>
  <si>
    <t>94441788975</t>
  </si>
  <si>
    <t>0508316343</t>
  </si>
  <si>
    <t>78183199</t>
  </si>
  <si>
    <t>Marginal Carvalho</t>
  </si>
  <si>
    <t>1856</t>
  </si>
  <si>
    <t>Central</t>
  </si>
  <si>
    <t>Pereira do Norte</t>
  </si>
  <si>
    <t>1991-02-25</t>
  </si>
  <si>
    <t>10</t>
  </si>
  <si>
    <t>ALICIA OLIVEIRA</t>
  </si>
  <si>
    <t>15</t>
  </si>
  <si>
    <t>20</t>
  </si>
  <si>
    <t>0006</t>
  </si>
  <si>
    <t>0007</t>
  </si>
  <si>
    <t>25</t>
  </si>
  <si>
    <t>0008</t>
  </si>
  <si>
    <t>0010</t>
  </si>
  <si>
    <t>0009</t>
  </si>
  <si>
    <t>0011</t>
  </si>
  <si>
    <t>0012</t>
  </si>
  <si>
    <t>0013</t>
  </si>
  <si>
    <t>0014</t>
  </si>
  <si>
    <t>0025</t>
  </si>
  <si>
    <t>C_0042</t>
  </si>
  <si>
    <t>Matheus Batista</t>
  </si>
  <si>
    <t>matheus.batista</t>
  </si>
  <si>
    <t>batista.matheus@gmail.com</t>
  </si>
  <si>
    <t>14257085100</t>
  </si>
  <si>
    <t>62144365513</t>
  </si>
  <si>
    <t>54761461</t>
  </si>
  <si>
    <t>Avenida Celia</t>
  </si>
  <si>
    <t>81611</t>
  </si>
  <si>
    <t>Moraes de Nossa Senhora</t>
  </si>
  <si>
    <t>1967-09-28</t>
  </si>
  <si>
    <t>MATHEUS BATISTA</t>
  </si>
  <si>
    <t>C_0043</t>
  </si>
  <si>
    <t>Gubio Carvalho</t>
  </si>
  <si>
    <t>gubio.carvalho</t>
  </si>
  <si>
    <t>carvalho.gubio@protonmail.com</t>
  </si>
  <si>
    <t>92427439410</t>
  </si>
  <si>
    <t>5953840309</t>
  </si>
  <si>
    <t>76063443</t>
  </si>
  <si>
    <t>Avenida Ana Luiza</t>
  </si>
  <si>
    <t>28544</t>
  </si>
  <si>
    <t>South Glamorgan</t>
  </si>
  <si>
    <t>Antonio de Nossa Senhora</t>
  </si>
  <si>
    <t>1977-11-23</t>
  </si>
  <si>
    <t>GUBIO CARVALHO</t>
  </si>
  <si>
    <t>C_0044</t>
  </si>
  <si>
    <t>Enzo Xavier</t>
  </si>
  <si>
    <t>enzo.xavier</t>
  </si>
  <si>
    <t>xavier.enzo@protonmail.com</t>
  </si>
  <si>
    <t>79420820165</t>
  </si>
  <si>
    <t>99661364361</t>
  </si>
  <si>
    <t>33661834</t>
  </si>
  <si>
    <t>Avenida Reis</t>
  </si>
  <si>
    <t>49283</t>
  </si>
  <si>
    <t>Montgomery County</t>
  </si>
  <si>
    <t>AL</t>
  </si>
  <si>
    <t>1977-09-19</t>
  </si>
  <si>
    <t>ENZO XAVIER</t>
  </si>
  <si>
    <t>C_0045</t>
  </si>
  <si>
    <t>Gabriel Martins</t>
  </si>
  <si>
    <t>gabriel.martins</t>
  </si>
  <si>
    <t>martins.gabriel@inbox.com</t>
  </si>
  <si>
    <t>77046684804</t>
  </si>
  <si>
    <t>559040951629</t>
  </si>
  <si>
    <t>60126007</t>
  </si>
  <si>
    <t>Avenida Laura</t>
  </si>
  <si>
    <t>498</t>
  </si>
  <si>
    <t>Costa de Nossa Senhora</t>
  </si>
  <si>
    <t>1983-02-09</t>
  </si>
  <si>
    <t>GABRIEL MARTINS</t>
  </si>
  <si>
    <t>C_0046</t>
  </si>
  <si>
    <t>Maria Eduarda Costa</t>
  </si>
  <si>
    <t>mariaeduarda.costa</t>
  </si>
  <si>
    <t>costa.mariaeduarda@gmail.com</t>
  </si>
  <si>
    <t>39251184119</t>
  </si>
  <si>
    <t>552982950231</t>
  </si>
  <si>
    <t>85859411</t>
  </si>
  <si>
    <t>11865</t>
  </si>
  <si>
    <t>Madison County</t>
  </si>
  <si>
    <t>1986-03-12</t>
  </si>
  <si>
    <t>MARIA EDUARDA COSTA</t>
  </si>
  <si>
    <t>C_0047</t>
  </si>
  <si>
    <t>Gubio Pereira</t>
  </si>
  <si>
    <t>gubio.pereira</t>
  </si>
  <si>
    <t>pereira.gubio@aol.com</t>
  </si>
  <si>
    <t>96184038079</t>
  </si>
  <si>
    <t>75539627075</t>
  </si>
  <si>
    <t>53281468</t>
  </si>
  <si>
    <t>Avenida Franco</t>
  </si>
  <si>
    <t>891</t>
  </si>
  <si>
    <t>Maria Helena do Norte</t>
  </si>
  <si>
    <t>1976-12-08</t>
  </si>
  <si>
    <t>GUBIO PEREIRA</t>
  </si>
  <si>
    <t>C_0048</t>
  </si>
  <si>
    <t>Benicio Batista</t>
  </si>
  <si>
    <t>benicio.batista</t>
  </si>
  <si>
    <t>batista.benicio@uol.com.br</t>
  </si>
  <si>
    <t>68996520136</t>
  </si>
  <si>
    <t>3435638766</t>
  </si>
  <si>
    <t>65893615</t>
  </si>
  <si>
    <t>Rua Maria Cecilia</t>
  </si>
  <si>
    <t>66074</t>
  </si>
  <si>
    <t>Lothian</t>
  </si>
  <si>
    <t>Melo do Descoberto</t>
  </si>
  <si>
    <t>1977-04-16</t>
  </si>
  <si>
    <t>BENICIO BATISTA</t>
  </si>
  <si>
    <t>C_0049</t>
  </si>
  <si>
    <t>Igor Braga</t>
  </si>
  <si>
    <t>igor.braga</t>
  </si>
  <si>
    <t>braga.igor@yandex.com</t>
  </si>
  <si>
    <t>17420346089</t>
  </si>
  <si>
    <t>4785944347</t>
  </si>
  <si>
    <t>85201664</t>
  </si>
  <si>
    <t>Alameda Roberto</t>
  </si>
  <si>
    <t>697</t>
  </si>
  <si>
    <t>Mid Glamorgan</t>
  </si>
  <si>
    <t>Marcela do Descoberto</t>
  </si>
  <si>
    <t>1977-03-18</t>
  </si>
  <si>
    <t>IGOR BRAGA</t>
  </si>
  <si>
    <t>C_0050</t>
  </si>
  <si>
    <t>Eduarda Oliveira</t>
  </si>
  <si>
    <t>eduarda.oliveira</t>
  </si>
  <si>
    <t>oliveira.eduarda@gmail.com</t>
  </si>
  <si>
    <t>42201027366</t>
  </si>
  <si>
    <t>550343252881</t>
  </si>
  <si>
    <t>29387262</t>
  </si>
  <si>
    <t>Rodovia Ana Luiza</t>
  </si>
  <si>
    <t>2710</t>
  </si>
  <si>
    <t>Yango do Norte</t>
  </si>
  <si>
    <t>1975-03-23</t>
  </si>
  <si>
    <t>EDUARDA OLIVEIRA</t>
  </si>
  <si>
    <t>C_0051</t>
  </si>
  <si>
    <t>Nubia Franco</t>
  </si>
  <si>
    <t>nubia.franco</t>
  </si>
  <si>
    <t>franco.nubia@yandex.com</t>
  </si>
  <si>
    <t>54025952408</t>
  </si>
  <si>
    <t>5691563754</t>
  </si>
  <si>
    <t>67601677</t>
  </si>
  <si>
    <t>Avenida Helio</t>
  </si>
  <si>
    <t>7681</t>
  </si>
  <si>
    <t>Cleveland</t>
  </si>
  <si>
    <t>Dalila do Sul</t>
  </si>
  <si>
    <t>1989-05-04</t>
  </si>
  <si>
    <t>NUBIA FRANCO</t>
  </si>
  <si>
    <t>C_0052</t>
  </si>
  <si>
    <t>Morgana Nogueira</t>
  </si>
  <si>
    <t>morgana.nogueira</t>
  </si>
  <si>
    <t>nogueira.morgana@gmail.com</t>
  </si>
  <si>
    <t>09859435138</t>
  </si>
  <si>
    <t>9060970612</t>
  </si>
  <si>
    <t>25595631</t>
  </si>
  <si>
    <t>Marginal Saraiva</t>
  </si>
  <si>
    <t>2617</t>
  </si>
  <si>
    <t>Rafael de Nossa Senhora</t>
  </si>
  <si>
    <t>1998-03-31</t>
  </si>
  <si>
    <t>MORGANA NOGUEIRA</t>
  </si>
  <si>
    <t>C_0053</t>
  </si>
  <si>
    <t>Nicolas Martins</t>
  </si>
  <si>
    <t>nicolas.martins</t>
  </si>
  <si>
    <t>martins.nicolas@ig.com.br</t>
  </si>
  <si>
    <t>91243590173</t>
  </si>
  <si>
    <t>61588000685</t>
  </si>
  <si>
    <t>13967754</t>
  </si>
  <si>
    <t>Travessa Isabela</t>
  </si>
  <si>
    <t>546</t>
  </si>
  <si>
    <t>Lawrence County</t>
  </si>
  <si>
    <t>2005-03-29</t>
  </si>
  <si>
    <t>NICOLAS MARTINS</t>
  </si>
  <si>
    <t>C_0054</t>
  </si>
  <si>
    <t>Alice Silva</t>
  </si>
  <si>
    <t>alice.silva</t>
  </si>
  <si>
    <t>silva.alice@yandex.com</t>
  </si>
  <si>
    <t>18007282807</t>
  </si>
  <si>
    <t>556892636510</t>
  </si>
  <si>
    <t>75996339</t>
  </si>
  <si>
    <t>Avenida Macedo</t>
  </si>
  <si>
    <t>4026</t>
  </si>
  <si>
    <t>Xavier do Descoberto</t>
  </si>
  <si>
    <t>1974-08-04</t>
  </si>
  <si>
    <t>ALICE SILVA</t>
  </si>
  <si>
    <t>C_0055</t>
  </si>
  <si>
    <t>Yasmin Martins</t>
  </si>
  <si>
    <t>yasmin.martins</t>
  </si>
  <si>
    <t>martins.yasmin@live.com</t>
  </si>
  <si>
    <t>64802577400</t>
  </si>
  <si>
    <t>59408724550</t>
  </si>
  <si>
    <t>65204362</t>
  </si>
  <si>
    <t>Rodovia Sirineu</t>
  </si>
  <si>
    <t>31041</t>
  </si>
  <si>
    <t>Monroe County</t>
  </si>
  <si>
    <t>Albuquerque do Descoberto</t>
  </si>
  <si>
    <t>MT</t>
  </si>
  <si>
    <t>2007-12-03</t>
  </si>
  <si>
    <t>YASMIN MARTINS</t>
  </si>
  <si>
    <t>C_0056</t>
  </si>
  <si>
    <t>Yango Moreira</t>
  </si>
  <si>
    <t>yango.moreira</t>
  </si>
  <si>
    <t>moreira.yango@yandex.com</t>
  </si>
  <si>
    <t>01539632474</t>
  </si>
  <si>
    <t>554613226409</t>
  </si>
  <si>
    <t>06601304</t>
  </si>
  <si>
    <t>Travessa Eloa</t>
  </si>
  <si>
    <t>87793</t>
  </si>
  <si>
    <t>Fayette County</t>
  </si>
  <si>
    <t>Rafaela do Descoberto</t>
  </si>
  <si>
    <t>1994-05-05</t>
  </si>
  <si>
    <t>YANGO MOREIRA</t>
  </si>
  <si>
    <t>C_0057</t>
  </si>
  <si>
    <t>Maria Alice Franco</t>
  </si>
  <si>
    <t>mariaalice.franco</t>
  </si>
  <si>
    <t>franco.mariaalice@live.com</t>
  </si>
  <si>
    <t>41373956755</t>
  </si>
  <si>
    <t>43212966458</t>
  </si>
  <si>
    <t>85476948</t>
  </si>
  <si>
    <t>Rodovia Pereira</t>
  </si>
  <si>
    <t>36598</t>
  </si>
  <si>
    <t>Washington County</t>
  </si>
  <si>
    <t>Albuquerque do Norte</t>
  </si>
  <si>
    <t>1978-03-02</t>
  </si>
  <si>
    <t>MARIA ALICE FRANCO</t>
  </si>
  <si>
    <t>C_0058</t>
  </si>
  <si>
    <t>Eloa Santos</t>
  </si>
  <si>
    <t>eloa.santos</t>
  </si>
  <si>
    <t>santos.eloa@msn.com</t>
  </si>
  <si>
    <t>35232917633</t>
  </si>
  <si>
    <t>5014249359</t>
  </si>
  <si>
    <t>38725846</t>
  </si>
  <si>
    <t>80940</t>
  </si>
  <si>
    <t>Grant County</t>
  </si>
  <si>
    <t>Barros do Norte</t>
  </si>
  <si>
    <t>2001-01-27</t>
  </si>
  <si>
    <t>ELOA SANTOS</t>
  </si>
  <si>
    <t>C_0059</t>
  </si>
  <si>
    <t>Kleber Albuquerque</t>
  </si>
  <si>
    <t>kleber.albuquerque</t>
  </si>
  <si>
    <t>albuquerque.kleber@mail.com</t>
  </si>
  <si>
    <t>75935241838</t>
  </si>
  <si>
    <t>559526724663</t>
  </si>
  <si>
    <t>33089985</t>
  </si>
  <si>
    <t>Travessa Santos</t>
  </si>
  <si>
    <t>886</t>
  </si>
  <si>
    <t>Strathclyde</t>
  </si>
  <si>
    <t>Heloisa de Nossa Senhora</t>
  </si>
  <si>
    <t>2006-09-16</t>
  </si>
  <si>
    <t>KLEBER ALBUQUERQUE</t>
  </si>
  <si>
    <t>C_0060</t>
  </si>
  <si>
    <t>Larissa Braga</t>
  </si>
  <si>
    <t>larissa.braga</t>
  </si>
  <si>
    <t>braga.larissa@outlook.com</t>
  </si>
  <si>
    <t>03009484763</t>
  </si>
  <si>
    <t>12811113776</t>
  </si>
  <si>
    <t>39038784</t>
  </si>
  <si>
    <t>Rodovia Beatriz</t>
  </si>
  <si>
    <t>8392</t>
  </si>
  <si>
    <t>Logan County</t>
  </si>
  <si>
    <t>Silva do Norte</t>
  </si>
  <si>
    <t>1966-10-08</t>
  </si>
  <si>
    <t>LARISSA BRAGA</t>
  </si>
  <si>
    <t>C_0061</t>
  </si>
  <si>
    <t>Elisio Costa</t>
  </si>
  <si>
    <t>elisio.costa</t>
  </si>
  <si>
    <t>costa.elisio@zoho.com</t>
  </si>
  <si>
    <t>80969306997</t>
  </si>
  <si>
    <t>558375953019</t>
  </si>
  <si>
    <t>77364599</t>
  </si>
  <si>
    <t>Avenida Moreira</t>
  </si>
  <si>
    <t>1740</t>
  </si>
  <si>
    <t>Lake County</t>
  </si>
  <si>
    <t>2004-07-31</t>
  </si>
  <si>
    <t>ELISIO COSTA</t>
  </si>
  <si>
    <t>C_0062</t>
  </si>
  <si>
    <t>Melissa Batista</t>
  </si>
  <si>
    <t>melissa.batista</t>
  </si>
  <si>
    <t>batista.melissa@icloud.com</t>
  </si>
  <si>
    <t>38593851860</t>
  </si>
  <si>
    <t>16071697568</t>
  </si>
  <si>
    <t>53526987</t>
  </si>
  <si>
    <t>Rodovia Barros</t>
  </si>
  <si>
    <t>62821</t>
  </si>
  <si>
    <t>Melo de Nossa Senhora</t>
  </si>
  <si>
    <t>SC</t>
  </si>
  <si>
    <t>1968-08-05</t>
  </si>
  <si>
    <t>MELISSA BATISTA</t>
  </si>
  <si>
    <t>C_0063</t>
  </si>
  <si>
    <t>Mercia Albuquerque</t>
  </si>
  <si>
    <t>mercia.albuquerque</t>
  </si>
  <si>
    <t>albuquerque.mercia@yandex.com</t>
  </si>
  <si>
    <t>75695470200</t>
  </si>
  <si>
    <t>551139247310</t>
  </si>
  <si>
    <t>29949019</t>
  </si>
  <si>
    <t>Rodovia Hugo</t>
  </si>
  <si>
    <t>81637</t>
  </si>
  <si>
    <t>1997-06-04</t>
  </si>
  <si>
    <t>MERCIA ALBUQUERQUE</t>
  </si>
  <si>
    <t>C_0064</t>
  </si>
  <si>
    <t>Liz Barros</t>
  </si>
  <si>
    <t>liz.barros</t>
  </si>
  <si>
    <t>barros.liz@ig.com.br</t>
  </si>
  <si>
    <t>70900331984</t>
  </si>
  <si>
    <t>23739331424</t>
  </si>
  <si>
    <t>12275306</t>
  </si>
  <si>
    <t>Rodovia Yango</t>
  </si>
  <si>
    <t>14257</t>
  </si>
  <si>
    <t>Isle of Wight</t>
  </si>
  <si>
    <t>Pedro do Descoberto</t>
  </si>
  <si>
    <t>1990-09-05</t>
  </si>
  <si>
    <t>LIZ BARROS</t>
  </si>
  <si>
    <t>C_0065</t>
  </si>
  <si>
    <t>Elisa Franco</t>
  </si>
  <si>
    <t>elisa.franco</t>
  </si>
  <si>
    <t>franco.elisa@bol.com.br</t>
  </si>
  <si>
    <t>54832706306</t>
  </si>
  <si>
    <t>7766323142</t>
  </si>
  <si>
    <t>91358552</t>
  </si>
  <si>
    <t>Rua Maria Helena</t>
  </si>
  <si>
    <t>8656</t>
  </si>
  <si>
    <t>Gabriel do Descoberto</t>
  </si>
  <si>
    <t>1971-04-17</t>
  </si>
  <si>
    <t>ELISA FRANCO</t>
  </si>
  <si>
    <t>C_0066</t>
  </si>
  <si>
    <t>Sirineu Franco</t>
  </si>
  <si>
    <t>sirineu.franco</t>
  </si>
  <si>
    <t>franco.sirineu@mail.com</t>
  </si>
  <si>
    <t>10407293043</t>
  </si>
  <si>
    <t>9972248903</t>
  </si>
  <si>
    <t>00854008</t>
  </si>
  <si>
    <t>Marginal Maria Cecilia</t>
  </si>
  <si>
    <t>261</t>
  </si>
  <si>
    <t>Bruna do Sul</t>
  </si>
  <si>
    <t>1997-09-24</t>
  </si>
  <si>
    <t>SIRINEU FRANCO</t>
  </si>
  <si>
    <t>C_0067</t>
  </si>
  <si>
    <t>Murilo Moraes</t>
  </si>
  <si>
    <t>murilo.moraes</t>
  </si>
  <si>
    <t>moraes.murilo@me.com</t>
  </si>
  <si>
    <t>16151873750</t>
  </si>
  <si>
    <t>5190390260</t>
  </si>
  <si>
    <t>44471175</t>
  </si>
  <si>
    <t>26989</t>
  </si>
  <si>
    <t>County Antrim</t>
  </si>
  <si>
    <t>Souza de Nossa Senhora</t>
  </si>
  <si>
    <t>1994-06-19</t>
  </si>
  <si>
    <t>MURILO MORAES</t>
  </si>
  <si>
    <t>C_0068</t>
  </si>
  <si>
    <t>Ana Julia Oliveira</t>
  </si>
  <si>
    <t>anajulia.oliveira</t>
  </si>
  <si>
    <t>oliveira.anajulia@hotmail.com</t>
  </si>
  <si>
    <t>85849378200</t>
  </si>
  <si>
    <t>7521701065</t>
  </si>
  <si>
    <t>86157742</t>
  </si>
  <si>
    <t>Rodovia Santos</t>
  </si>
  <si>
    <t>35172</t>
  </si>
  <si>
    <t>Wayne County</t>
  </si>
  <si>
    <t>Braga do Sul</t>
  </si>
  <si>
    <t>1993-02-05</t>
  </si>
  <si>
    <t>ANA JULIA OLIVEIRA</t>
  </si>
  <si>
    <t>C_0069</t>
  </si>
  <si>
    <t>Caua Barros</t>
  </si>
  <si>
    <t>caua.barros</t>
  </si>
  <si>
    <t>barros.caua@gmx.com</t>
  </si>
  <si>
    <t>25455353896</t>
  </si>
  <si>
    <t>8416702863</t>
  </si>
  <si>
    <t>43678218</t>
  </si>
  <si>
    <t>Avenida Carlos</t>
  </si>
  <si>
    <t>9517</t>
  </si>
  <si>
    <t>2007-09-17</t>
  </si>
  <si>
    <t>CAUA BARROS</t>
  </si>
  <si>
    <t>C_0070</t>
  </si>
  <si>
    <t>Heloisa Xavier</t>
  </si>
  <si>
    <t>heloisa.xavier</t>
  </si>
  <si>
    <t>xavier.heloisa@yahoo.com</t>
  </si>
  <si>
    <t>99631906000</t>
  </si>
  <si>
    <t>555200837072</t>
  </si>
  <si>
    <t>03907470</t>
  </si>
  <si>
    <t>Rodovia Eduarda</t>
  </si>
  <si>
    <t>92503</t>
  </si>
  <si>
    <t>Yasmin do Sul</t>
  </si>
  <si>
    <t>2000-04-07</t>
  </si>
  <si>
    <t>HELOISA XAVIER</t>
  </si>
  <si>
    <t>C_0071</t>
  </si>
  <si>
    <t>Maria Alice Moraes</t>
  </si>
  <si>
    <t>mariaalice.moraes</t>
  </si>
  <si>
    <t>moraes.mariaalice@me.com</t>
  </si>
  <si>
    <t>07605900015</t>
  </si>
  <si>
    <t>13539341213</t>
  </si>
  <si>
    <t>06672328</t>
  </si>
  <si>
    <t>Alameda Maria Eduarda</t>
  </si>
  <si>
    <t>8846</t>
  </si>
  <si>
    <t>West Midlands</t>
  </si>
  <si>
    <t>Fabricia do Descoberto</t>
  </si>
  <si>
    <t>1985-04-04</t>
  </si>
  <si>
    <t>MARIA ALICE MORAES</t>
  </si>
  <si>
    <t>C_0072</t>
  </si>
  <si>
    <t>Gubio Saraiva</t>
  </si>
  <si>
    <t>gubio.saraiva</t>
  </si>
  <si>
    <t>saraiva.gubio@gmail.com</t>
  </si>
  <si>
    <t>19686514201</t>
  </si>
  <si>
    <t>28606188518</t>
  </si>
  <si>
    <t>47821094</t>
  </si>
  <si>
    <t>Marginal Raul</t>
  </si>
  <si>
    <t>4164</t>
  </si>
  <si>
    <t>County Armagh</t>
  </si>
  <si>
    <t>1976-07-18</t>
  </si>
  <si>
    <t>GUBIO SARAIVA</t>
  </si>
  <si>
    <t>C_0073</t>
  </si>
  <si>
    <t>Pietro Batista</t>
  </si>
  <si>
    <t>pietro.batista</t>
  </si>
  <si>
    <t>batista.pietro@mail.com</t>
  </si>
  <si>
    <t>02380328927</t>
  </si>
  <si>
    <t>72084108935</t>
  </si>
  <si>
    <t>78513151</t>
  </si>
  <si>
    <t>Rodovia Marcela</t>
  </si>
  <si>
    <t>26650</t>
  </si>
  <si>
    <t>Valentina de Nossa Senhora</t>
  </si>
  <si>
    <t>1974-10-23</t>
  </si>
  <si>
    <t>PIETRO BATISTA</t>
  </si>
  <si>
    <t>C_0074</t>
  </si>
  <si>
    <t>Laura Silva</t>
  </si>
  <si>
    <t>laura.silva</t>
  </si>
  <si>
    <t>silva.laura@icloud.com</t>
  </si>
  <si>
    <t>09403930772</t>
  </si>
  <si>
    <t>0492533268</t>
  </si>
  <si>
    <t>32124390</t>
  </si>
  <si>
    <t>Marginal Fabricia</t>
  </si>
  <si>
    <t>604</t>
  </si>
  <si>
    <t>Nogueira do Descoberto</t>
  </si>
  <si>
    <t>1995-11-05</t>
  </si>
  <si>
    <t>LAURA SILVA</t>
  </si>
  <si>
    <t>C_0075</t>
  </si>
  <si>
    <t>Victor Saraiva</t>
  </si>
  <si>
    <t>victor.saraiva</t>
  </si>
  <si>
    <t>saraiva.victor@bol.com.br</t>
  </si>
  <si>
    <t>01016874006</t>
  </si>
  <si>
    <t>8889839237</t>
  </si>
  <si>
    <t>41076680</t>
  </si>
  <si>
    <t>Rua Janaina</t>
  </si>
  <si>
    <t>21552</t>
  </si>
  <si>
    <t>Guilherme de Nossa Senhora</t>
  </si>
  <si>
    <t>1999-09-07</t>
  </si>
  <si>
    <t>VICTOR SARAIVA</t>
  </si>
  <si>
    <t>C_0076</t>
  </si>
  <si>
    <t>Samuel Silva</t>
  </si>
  <si>
    <t>samuel.silva</t>
  </si>
  <si>
    <t>silva.samuel@icloud.com</t>
  </si>
  <si>
    <t>08362653787</t>
  </si>
  <si>
    <t>551447518427</t>
  </si>
  <si>
    <t>03157631</t>
  </si>
  <si>
    <t>Avenida Melo</t>
  </si>
  <si>
    <t>5933</t>
  </si>
  <si>
    <t>Gloucestershire</t>
  </si>
  <si>
    <t>Franco do Descoberto</t>
  </si>
  <si>
    <t>1970-09-05</t>
  </si>
  <si>
    <t>SAMUEL SILVA</t>
  </si>
  <si>
    <t>C_0077</t>
  </si>
  <si>
    <t>Silas Oliveira</t>
  </si>
  <si>
    <t>silas.oliveira</t>
  </si>
  <si>
    <t>oliveira.silas@aol.com</t>
  </si>
  <si>
    <t>67343338927</t>
  </si>
  <si>
    <t>3416067350</t>
  </si>
  <si>
    <t>08909651</t>
  </si>
  <si>
    <t>Travessa Moraes</t>
  </si>
  <si>
    <t>16909</t>
  </si>
  <si>
    <t>Reis do Sul</t>
  </si>
  <si>
    <t>1973-12-17</t>
  </si>
  <si>
    <t>SILAS OLIVEIRA</t>
  </si>
  <si>
    <t>C_0078</t>
  </si>
  <si>
    <t>Miguel Melo</t>
  </si>
  <si>
    <t>miguel.melo</t>
  </si>
  <si>
    <t>melo.miguel@msn.com</t>
  </si>
  <si>
    <t>86681033857</t>
  </si>
  <si>
    <t>557835020860</t>
  </si>
  <si>
    <t>78178239</t>
  </si>
  <si>
    <t>4994</t>
  </si>
  <si>
    <t>Gustavo do Descoberto</t>
  </si>
  <si>
    <t>1978-05-24</t>
  </si>
  <si>
    <t>MIGUEL MELO</t>
  </si>
  <si>
    <t>C_0079</t>
  </si>
  <si>
    <t>Fabiano Batista</t>
  </si>
  <si>
    <t>fabiano.batista</t>
  </si>
  <si>
    <t>batista.fabiano@aol.com</t>
  </si>
  <si>
    <t>07650640140</t>
  </si>
  <si>
    <t>0453863204</t>
  </si>
  <si>
    <t>54485712</t>
  </si>
  <si>
    <t>Avenida Marcia</t>
  </si>
  <si>
    <t>71694</t>
  </si>
  <si>
    <t>Sara de Nossa Senhora</t>
  </si>
  <si>
    <t>1970-12-04</t>
  </si>
  <si>
    <t>FABIANO BATISTA</t>
  </si>
  <si>
    <t>C_0080</t>
  </si>
  <si>
    <t>Lavinia Nogueira</t>
  </si>
  <si>
    <t>lavinia.nogueira</t>
  </si>
  <si>
    <t>nogueira.lavinia@hotmail.com</t>
  </si>
  <si>
    <t>79848680187</t>
  </si>
  <si>
    <t>554292261352</t>
  </si>
  <si>
    <t>82166215</t>
  </si>
  <si>
    <t>Rodovia Joao</t>
  </si>
  <si>
    <t>80009</t>
  </si>
  <si>
    <t>Larissa do Norte</t>
  </si>
  <si>
    <t>1974-03-18</t>
  </si>
  <si>
    <t>LAVINIA NOGUEIRA</t>
  </si>
  <si>
    <t>C_0081</t>
  </si>
  <si>
    <t>Gubio Oliveira</t>
  </si>
  <si>
    <t>gubio.oliveira</t>
  </si>
  <si>
    <t>oliveira.gubio@gmx.com</t>
  </si>
  <si>
    <t>11222353644</t>
  </si>
  <si>
    <t>3118064017</t>
  </si>
  <si>
    <t>36010809</t>
  </si>
  <si>
    <t>Avenida Eduarda</t>
  </si>
  <si>
    <t>241</t>
  </si>
  <si>
    <t>Clark County</t>
  </si>
  <si>
    <t>Maria do Norte</t>
  </si>
  <si>
    <t>1983-08-27</t>
  </si>
  <si>
    <t>GUBIO OLIVEIRA</t>
  </si>
  <si>
    <t>C_0082</t>
  </si>
  <si>
    <t>Joana Oliveira</t>
  </si>
  <si>
    <t>joana.oliveira</t>
  </si>
  <si>
    <t>oliveira.joana@bol.com.br</t>
  </si>
  <si>
    <t>18798438468</t>
  </si>
  <si>
    <t>0132488387</t>
  </si>
  <si>
    <t>88662069</t>
  </si>
  <si>
    <t>Rodovia Carvalho</t>
  </si>
  <si>
    <t>76847</t>
  </si>
  <si>
    <t>Scott County</t>
  </si>
  <si>
    <t>1987-07-22</t>
  </si>
  <si>
    <t>JOANA OLIVEIRA</t>
  </si>
  <si>
    <t>C_0083</t>
  </si>
  <si>
    <t>Rafaela Moreira</t>
  </si>
  <si>
    <t>rafaela.moreira</t>
  </si>
  <si>
    <t>moreira.rafaela@aol.com</t>
  </si>
  <si>
    <t>61205769161</t>
  </si>
  <si>
    <t>556939615477</t>
  </si>
  <si>
    <t>56018953</t>
  </si>
  <si>
    <t>Rodovia Isabel</t>
  </si>
  <si>
    <t>60504</t>
  </si>
  <si>
    <t>Emanuelly do Descoberto</t>
  </si>
  <si>
    <t>1991-12-30</t>
  </si>
  <si>
    <t>RAFAELA MOREIRA</t>
  </si>
  <si>
    <t>C_0084</t>
  </si>
  <si>
    <t>Ana Laura Xavier</t>
  </si>
  <si>
    <t>analaura.xavier</t>
  </si>
  <si>
    <t>xavier.analaura@protonmail.com</t>
  </si>
  <si>
    <t>62137549549</t>
  </si>
  <si>
    <t>553620630133</t>
  </si>
  <si>
    <t>85195901</t>
  </si>
  <si>
    <t>Marginal Ladislau</t>
  </si>
  <si>
    <t>6166</t>
  </si>
  <si>
    <t>Santos de Nossa Senhora</t>
  </si>
  <si>
    <t>1991-10-16</t>
  </si>
  <si>
    <t>ANA LAURA XAVIER</t>
  </si>
  <si>
    <t>C_0085</t>
  </si>
  <si>
    <t>Gael Santos</t>
  </si>
  <si>
    <t>gael.santos</t>
  </si>
  <si>
    <t>santos.gael@yandex.com</t>
  </si>
  <si>
    <t>88087885392</t>
  </si>
  <si>
    <t>551008687019</t>
  </si>
  <si>
    <t>98950665</t>
  </si>
  <si>
    <t>Marginal Sara</t>
  </si>
  <si>
    <t>16514</t>
  </si>
  <si>
    <t>Cheshire</t>
  </si>
  <si>
    <t>1992-11-28</t>
  </si>
  <si>
    <t>GAEL SANTOS</t>
  </si>
  <si>
    <t>C_0086</t>
  </si>
  <si>
    <t>Lara Pereira</t>
  </si>
  <si>
    <t>lara.pereira</t>
  </si>
  <si>
    <t>pereira.lara@fastmail.com</t>
  </si>
  <si>
    <t>07206226388</t>
  </si>
  <si>
    <t>557881603470</t>
  </si>
  <si>
    <t>04690145</t>
  </si>
  <si>
    <t>Marginal Danilo</t>
  </si>
  <si>
    <t>65367</t>
  </si>
  <si>
    <t>Clay County</t>
  </si>
  <si>
    <t>1972-07-24</t>
  </si>
  <si>
    <t>LARA PEREIRA</t>
  </si>
  <si>
    <t>C_0087</t>
  </si>
  <si>
    <t>Isabel Pereira</t>
  </si>
  <si>
    <t>isabel.pereira</t>
  </si>
  <si>
    <t>pereira.isabel@bol.com.br</t>
  </si>
  <si>
    <t>38339506250</t>
  </si>
  <si>
    <t>8980837773</t>
  </si>
  <si>
    <t>43203560</t>
  </si>
  <si>
    <t>Alameda Braga</t>
  </si>
  <si>
    <t>8911</t>
  </si>
  <si>
    <t>Silvia do Descoberto</t>
  </si>
  <si>
    <t>1970-05-08</t>
  </si>
  <si>
    <t>ISABEL PEREIRA</t>
  </si>
  <si>
    <t>C_0088</t>
  </si>
  <si>
    <t>Noah Costa</t>
  </si>
  <si>
    <t>noah.costa</t>
  </si>
  <si>
    <t>costa.noah@ig.com.br</t>
  </si>
  <si>
    <t>35973639622</t>
  </si>
  <si>
    <t>554636121797</t>
  </si>
  <si>
    <t>69925842</t>
  </si>
  <si>
    <t>Rodovia Carlos</t>
  </si>
  <si>
    <t>2041</t>
  </si>
  <si>
    <t>Kent</t>
  </si>
  <si>
    <t>1993-04-25</t>
  </si>
  <si>
    <t>NOAH COSTA</t>
  </si>
  <si>
    <t>C_0089</t>
  </si>
  <si>
    <t>Helio Xavier</t>
  </si>
  <si>
    <t>helio.xavier</t>
  </si>
  <si>
    <t>xavier.helio@me.com</t>
  </si>
  <si>
    <t>79374632012</t>
  </si>
  <si>
    <t>97330993870</t>
  </si>
  <si>
    <t>50982385</t>
  </si>
  <si>
    <t>Rodovia Saraiva</t>
  </si>
  <si>
    <t>4333</t>
  </si>
  <si>
    <t>Henry County</t>
  </si>
  <si>
    <t>Nataniel do Descoberto</t>
  </si>
  <si>
    <t>2008-05-13</t>
  </si>
  <si>
    <t>HELIO XAVIER</t>
  </si>
  <si>
    <t>C_0090</t>
  </si>
  <si>
    <t>Liz Reis</t>
  </si>
  <si>
    <t>liz.reis</t>
  </si>
  <si>
    <t>reis.liz@zoho.com</t>
  </si>
  <si>
    <t>53366766670</t>
  </si>
  <si>
    <t>05862075064</t>
  </si>
  <si>
    <t>31100083</t>
  </si>
  <si>
    <t>921</t>
  </si>
  <si>
    <t>Hertfordshire</t>
  </si>
  <si>
    <t>Mercia do Sul</t>
  </si>
  <si>
    <t>1972-06-13</t>
  </si>
  <si>
    <t>LIZ REIS</t>
  </si>
  <si>
    <t>C_0091</t>
  </si>
  <si>
    <t>Roberta Souza</t>
  </si>
  <si>
    <t>roberta.souza</t>
  </si>
  <si>
    <t>souza.roberta@live.com</t>
  </si>
  <si>
    <t>25881941500</t>
  </si>
  <si>
    <t>556220325005</t>
  </si>
  <si>
    <t>89650435</t>
  </si>
  <si>
    <t>Travessa Suelen</t>
  </si>
  <si>
    <t>9690</t>
  </si>
  <si>
    <t>Douglas County</t>
  </si>
  <si>
    <t>Carvalho de Nossa Senhora</t>
  </si>
  <si>
    <t>1971-11-26</t>
  </si>
  <si>
    <t>ROBERTA SOUZA</t>
  </si>
  <si>
    <t>C_0092</t>
  </si>
  <si>
    <t>Melissa Moreira</t>
  </si>
  <si>
    <t>melissa.moreira</t>
  </si>
  <si>
    <t>moreira.melissa@terra.com.br</t>
  </si>
  <si>
    <t>72367562709</t>
  </si>
  <si>
    <t>9615352902</t>
  </si>
  <si>
    <t>27201326</t>
  </si>
  <si>
    <t>Marginal Moraes</t>
  </si>
  <si>
    <t>7866</t>
  </si>
  <si>
    <t>Bryan de Nossa Senhora</t>
  </si>
  <si>
    <t>1972-01-02</t>
  </si>
  <si>
    <t>MELISSA MOREIRA</t>
  </si>
  <si>
    <t>C_0093</t>
  </si>
  <si>
    <t>Alice Batista</t>
  </si>
  <si>
    <t>alice.batista</t>
  </si>
  <si>
    <t>batista.alice@icloud.com</t>
  </si>
  <si>
    <t>73520632691</t>
  </si>
  <si>
    <t>07348641238</t>
  </si>
  <si>
    <t>77826880</t>
  </si>
  <si>
    <t>Marginal Clara</t>
  </si>
  <si>
    <t>110</t>
  </si>
  <si>
    <t>Igor de Nossa Senhora</t>
  </si>
  <si>
    <t>1988-01-20</t>
  </si>
  <si>
    <t>ALICE BATISTA</t>
  </si>
  <si>
    <t>C_0094</t>
  </si>
  <si>
    <t>Vitoria Braga</t>
  </si>
  <si>
    <t>vitoria.braga</t>
  </si>
  <si>
    <t>braga.vitoria@aol.com</t>
  </si>
  <si>
    <t>45091344446</t>
  </si>
  <si>
    <t>6674229634</t>
  </si>
  <si>
    <t>84464941</t>
  </si>
  <si>
    <t>Rua Eloa</t>
  </si>
  <si>
    <t>815</t>
  </si>
  <si>
    <t>Ladislau do Sul</t>
  </si>
  <si>
    <t>1967-05-07</t>
  </si>
  <si>
    <t>VITORIA BRAGA</t>
  </si>
  <si>
    <t>C_0095</t>
  </si>
  <si>
    <t>Eloa Xavier</t>
  </si>
  <si>
    <t>eloa.xavier</t>
  </si>
  <si>
    <t>xavier.eloa@inbox.com</t>
  </si>
  <si>
    <t>42797968077</t>
  </si>
  <si>
    <t>0170900505</t>
  </si>
  <si>
    <t>02567401</t>
  </si>
  <si>
    <t>Travessa Deneval</t>
  </si>
  <si>
    <t>615</t>
  </si>
  <si>
    <t>Manuela do Descoberto</t>
  </si>
  <si>
    <t>1996-05-20</t>
  </si>
  <si>
    <t>ELOA XAVIER</t>
  </si>
  <si>
    <t>C_0096</t>
  </si>
  <si>
    <t>barros.mariajulia@ig.com.br</t>
  </si>
  <si>
    <t>93278663390</t>
  </si>
  <si>
    <t>58129413925</t>
  </si>
  <si>
    <t>91545012</t>
  </si>
  <si>
    <t>Alameda Isadora</t>
  </si>
  <si>
    <t>58430</t>
  </si>
  <si>
    <t>1978-04-02</t>
  </si>
  <si>
    <t>0015</t>
  </si>
  <si>
    <t>0017</t>
  </si>
  <si>
    <t>cpf</t>
  </si>
  <si>
    <t>saldo_conta</t>
  </si>
  <si>
    <t>limite_utilizado</t>
  </si>
  <si>
    <t>limite_disponivel</t>
  </si>
  <si>
    <t>fatura_fechada</t>
  </si>
  <si>
    <t>fatura_aberta</t>
  </si>
  <si>
    <t>dias_atraso</t>
  </si>
  <si>
    <t>cartao_fisico_numero</t>
  </si>
  <si>
    <t>cartao_fisico_cvv</t>
  </si>
  <si>
    <t>cartao_virtual_numero</t>
  </si>
  <si>
    <t>cartao_virtual_cvv</t>
  </si>
  <si>
    <t>12424713839</t>
  </si>
  <si>
    <t>Abigaelle Michel</t>
  </si>
  <si>
    <t>0</t>
  </si>
  <si>
    <t>5442 7460 9903 2410</t>
  </si>
  <si>
    <t>43204282856</t>
  </si>
  <si>
    <t>Absalon Olivier</t>
  </si>
  <si>
    <t>5442 7460 6216 3719</t>
  </si>
  <si>
    <t>856</t>
  </si>
  <si>
    <t>27234768980</t>
  </si>
  <si>
    <t>Acanthe Vidal</t>
  </si>
  <si>
    <t>5442 7460 4352 2381</t>
  </si>
  <si>
    <t>980</t>
  </si>
  <si>
    <t>44794065574</t>
  </si>
  <si>
    <t>Achaire Schmitt</t>
  </si>
  <si>
    <t>5442 7460 4040 2844</t>
  </si>
  <si>
    <t>574</t>
  </si>
  <si>
    <t>83052128400</t>
  </si>
  <si>
    <t>Adalard Rodriguez</t>
  </si>
  <si>
    <t>5442 7460 0864 4232</t>
  </si>
  <si>
    <t>400</t>
  </si>
  <si>
    <t>07817267197</t>
  </si>
  <si>
    <t>Adrienne Giraud</t>
  </si>
  <si>
    <t>4203 1060 2877 0990</t>
  </si>
  <si>
    <t>197</t>
  </si>
  <si>
    <t>71078566429</t>
  </si>
  <si>
    <t>Alban Royer</t>
  </si>
  <si>
    <t>5442 7460 3074 5480</t>
  </si>
  <si>
    <t>429</t>
  </si>
  <si>
    <t>86236132526</t>
  </si>
  <si>
    <t>5185 4460 8680 7410</t>
  </si>
  <si>
    <t>526</t>
  </si>
  <si>
    <t>77017682203</t>
  </si>
  <si>
    <t>5442 7460 3341 8160</t>
  </si>
  <si>
    <t>203</t>
  </si>
  <si>
    <t>36072364535</t>
  </si>
  <si>
    <t>Alessandro Ferrari</t>
  </si>
  <si>
    <t>5442 7460 2038 8294</t>
  </si>
  <si>
    <t>333</t>
  </si>
  <si>
    <t>70696409003</t>
  </si>
  <si>
    <t>Alexander James Smith</t>
  </si>
  <si>
    <t>3782 480351 3483</t>
  </si>
  <si>
    <t>8821</t>
  </si>
  <si>
    <t>57855482407</t>
  </si>
  <si>
    <t>4576 7460 2297 6677</t>
  </si>
  <si>
    <t>56457538797</t>
  </si>
  <si>
    <t>Alexandre Costa</t>
  </si>
  <si>
    <t>5373 6360 3965 4669</t>
  </si>
  <si>
    <t>797</t>
  </si>
  <si>
    <t>18011225638</t>
  </si>
  <si>
    <t>Alice Albuquerque</t>
  </si>
  <si>
    <t>5442 7460 2184 6661</t>
  </si>
  <si>
    <t>638</t>
  </si>
  <si>
    <t>25713468361</t>
  </si>
  <si>
    <t>5442 7460 6629 7624</t>
  </si>
  <si>
    <t>361</t>
  </si>
  <si>
    <t>6375 6800 6807 3116</t>
  </si>
  <si>
    <t>958</t>
  </si>
  <si>
    <t>5442 7460 0745 5341</t>
  </si>
  <si>
    <t>79772936330</t>
  </si>
  <si>
    <t>Ana Clara Barros</t>
  </si>
  <si>
    <t>5373 6360 3461 7570</t>
  </si>
  <si>
    <t>330</t>
  </si>
  <si>
    <t>13440024202</t>
  </si>
  <si>
    <t>Ana Julia Santos</t>
  </si>
  <si>
    <t>5364 2660 5357 3420</t>
  </si>
  <si>
    <t>202</t>
  </si>
  <si>
    <t>54313729046</t>
  </si>
  <si>
    <t>Ana Luiza Nogueira</t>
  </si>
  <si>
    <t>5442 7460 9003 0217</t>
  </si>
  <si>
    <t>65184684166</t>
  </si>
  <si>
    <t>Anceline Gauthier</t>
  </si>
  <si>
    <t>5442 7460 4947 8021</t>
  </si>
  <si>
    <t>166</t>
  </si>
  <si>
    <t>53281863159</t>
  </si>
  <si>
    <t>Angel Rempel</t>
  </si>
  <si>
    <t>5442 7460 5945 2322</t>
  </si>
  <si>
    <t>159</t>
  </si>
  <si>
    <t>42718533218</t>
  </si>
  <si>
    <t>Angilran Morin</t>
  </si>
  <si>
    <t>5442 7460 7965 5007</t>
  </si>
  <si>
    <t>218</t>
  </si>
  <si>
    <t>38882777448</t>
  </si>
  <si>
    <t>Annonciade Poirier</t>
  </si>
  <si>
    <t>5442 7460 7026 1006</t>
  </si>
  <si>
    <t>448</t>
  </si>
  <si>
    <t>89331225245</t>
  </si>
  <si>
    <t>Aoi Yamamoto</t>
  </si>
  <si>
    <t>6505 0666 4055 1682</t>
  </si>
  <si>
    <t>64866656883</t>
  </si>
  <si>
    <t>Archambaud Remy</t>
  </si>
  <si>
    <t>5442 7460 5774 1894</t>
  </si>
  <si>
    <t>883</t>
  </si>
  <si>
    <t>41689983639</t>
  </si>
  <si>
    <t>Armandine Joly</t>
  </si>
  <si>
    <t>5442 7460 2232 1307</t>
  </si>
  <si>
    <t>639</t>
  </si>
  <si>
    <t>30113512287</t>
  </si>
  <si>
    <t>Armel Michel</t>
  </si>
  <si>
    <t>5185 4460 8337 0511</t>
  </si>
  <si>
    <t>287</t>
  </si>
  <si>
    <t>95654548522</t>
  </si>
  <si>
    <t>Assomption Sanchez</t>
  </si>
  <si>
    <t>5442 7460 9555 7352</t>
  </si>
  <si>
    <t>522</t>
  </si>
  <si>
    <t>51172415331</t>
  </si>
  <si>
    <t>Audrey Benoit</t>
  </si>
  <si>
    <t>5442 7460 3460 7138</t>
  </si>
  <si>
    <t>331</t>
  </si>
  <si>
    <t>65207037706</t>
  </si>
  <si>
    <t>Beatriz Ferreira</t>
  </si>
  <si>
    <t>3782 685080 1425</t>
  </si>
  <si>
    <t>90917191782</t>
  </si>
  <si>
    <t>Beatriz Franco</t>
  </si>
  <si>
    <t>5442 7460 1171 2107</t>
  </si>
  <si>
    <t>782</t>
  </si>
  <si>
    <t>25433185508</t>
  </si>
  <si>
    <t>Benjamin Macedo</t>
  </si>
  <si>
    <t>5442 7460 4207 9262</t>
  </si>
  <si>
    <t>508</t>
  </si>
  <si>
    <t>17693911189</t>
  </si>
  <si>
    <t>Blandine Fabre</t>
  </si>
  <si>
    <t>5442 7460 3108 7574</t>
  </si>
  <si>
    <t>189</t>
  </si>
  <si>
    <t>21005484686</t>
  </si>
  <si>
    <t>Boniface Gauthier</t>
  </si>
  <si>
    <t>5364 2660 6627 9262</t>
  </si>
  <si>
    <t>686</t>
  </si>
  <si>
    <t>12312312388</t>
  </si>
  <si>
    <t>Broder jonas</t>
  </si>
  <si>
    <t>5185 4460 2657 3346</t>
  </si>
  <si>
    <t>388</t>
  </si>
  <si>
    <t>12312312312</t>
  </si>
  <si>
    <t>5373 6360 9094 8588</t>
  </si>
  <si>
    <t>312</t>
  </si>
  <si>
    <t>75632149875</t>
  </si>
  <si>
    <t>5373 6360 0033 6346</t>
  </si>
  <si>
    <t>875</t>
  </si>
  <si>
    <t>27646660477</t>
  </si>
  <si>
    <t>Brunehilde Gaillard</t>
  </si>
  <si>
    <t>5442 7460 2776 5268</t>
  </si>
  <si>
    <t>477</t>
  </si>
  <si>
    <t>49335289779</t>
  </si>
  <si>
    <t>Bruno Henrique Alves</t>
  </si>
  <si>
    <t>4576 7460 2571 0727</t>
  </si>
  <si>
    <t>42194343806</t>
  </si>
  <si>
    <t>4576 7460 4934 6097</t>
  </si>
  <si>
    <t>81122222742</t>
  </si>
  <si>
    <t>Bryan Barros</t>
  </si>
  <si>
    <t>5373 6360 4562 4789</t>
  </si>
  <si>
    <t>742</t>
  </si>
  <si>
    <t>42111679011</t>
  </si>
  <si>
    <t>Camila Beatriz Santos</t>
  </si>
  <si>
    <t>5442 7460 6318 0938</t>
  </si>
  <si>
    <t>84979979998</t>
  </si>
  <si>
    <t>Camila Lopez</t>
  </si>
  <si>
    <t>3782 623285 4972</t>
  </si>
  <si>
    <t>07798679553</t>
  </si>
  <si>
    <t>6062 8200 4799 3000</t>
  </si>
  <si>
    <t>82499572612</t>
  </si>
  <si>
    <t>Camille Martin</t>
  </si>
  <si>
    <t>5442 7460 4229 7284</t>
  </si>
  <si>
    <t>612</t>
  </si>
  <si>
    <t>88712484814</t>
  </si>
  <si>
    <t>3782 720223 5276</t>
  </si>
  <si>
    <t>34272175349</t>
  </si>
  <si>
    <t>5442 7460 4625 0111</t>
  </si>
  <si>
    <t>349</t>
  </si>
  <si>
    <t>97504636177</t>
  </si>
  <si>
    <t>Charline Rodriguez</t>
  </si>
  <si>
    <t>5442 7460 5470 6527</t>
  </si>
  <si>
    <t>177</t>
  </si>
  <si>
    <t>36803189287</t>
  </si>
  <si>
    <t>Chloe Dubois</t>
  </si>
  <si>
    <t>5442 7460 8324 5117</t>
  </si>
  <si>
    <t>77355277308</t>
  </si>
  <si>
    <t>Christian Bertrand</t>
  </si>
  <si>
    <t>5442 7460 3070 4884</t>
  </si>
  <si>
    <t>308</t>
  </si>
  <si>
    <t>43838315910</t>
  </si>
  <si>
    <t>Christian Simon</t>
  </si>
  <si>
    <t>5442 7460 7036 5189</t>
  </si>
  <si>
    <t>910</t>
  </si>
  <si>
    <t>76925831102</t>
  </si>
  <si>
    <t>Clarisse Dufour</t>
  </si>
  <si>
    <t>5442 7460 7177 0889</t>
  </si>
  <si>
    <t>102</t>
  </si>
  <si>
    <t>48318883543</t>
  </si>
  <si>
    <t>Claude Garcia</t>
  </si>
  <si>
    <t>5442 7460 1607 2003</t>
  </si>
  <si>
    <t>543</t>
  </si>
  <si>
    <t>66655544433</t>
  </si>
  <si>
    <t>Cliente Amex Vip</t>
  </si>
  <si>
    <t>3782 123456 78901</t>
  </si>
  <si>
    <t>3782 608405 6139</t>
  </si>
  <si>
    <t>77766655544</t>
  </si>
  <si>
    <t>Cliente Cartao Teste</t>
  </si>
  <si>
    <t>5442 7460 1135 2723</t>
  </si>
  <si>
    <t>544</t>
  </si>
  <si>
    <t>77766655599</t>
  </si>
  <si>
    <t>5981 0124 9999 8888</t>
  </si>
  <si>
    <t>777</t>
  </si>
  <si>
    <t>5981 0125 6673 7131</t>
  </si>
  <si>
    <t>70000129979</t>
  </si>
  <si>
    <t>Comprador Monitor</t>
  </si>
  <si>
    <t>4576 7460 6058 7283</t>
  </si>
  <si>
    <t>66414169091</t>
  </si>
  <si>
    <t>Coy Schmeler</t>
  </si>
  <si>
    <t>5442 7460 4969 9232</t>
  </si>
  <si>
    <t>65451936372</t>
  </si>
  <si>
    <t>Dalila Batista</t>
  </si>
  <si>
    <t>5442 7460 4485 1604</t>
  </si>
  <si>
    <t>372</t>
  </si>
  <si>
    <t>5185 4460 4080 9494</t>
  </si>
  <si>
    <t>226</t>
  </si>
  <si>
    <t>87437767600</t>
  </si>
  <si>
    <t>Dalila Saraiva</t>
  </si>
  <si>
    <t>5364 2660 2813 8234</t>
  </si>
  <si>
    <t>600</t>
  </si>
  <si>
    <t>12388853222</t>
  </si>
  <si>
    <t>Daniel Costa</t>
  </si>
  <si>
    <t>5185 4460 0766 9386</t>
  </si>
  <si>
    <t>222</t>
  </si>
  <si>
    <t>33333333333</t>
  </si>
  <si>
    <t>5981 0126 7625 2833</t>
  </si>
  <si>
    <t>5981 0121 6847 4143</t>
  </si>
  <si>
    <t>840</t>
  </si>
  <si>
    <t>65461467385</t>
  </si>
  <si>
    <t>Daniel Dupuis</t>
  </si>
  <si>
    <t>5364 2660 2219 1882</t>
  </si>
  <si>
    <t>385</t>
  </si>
  <si>
    <t>72605753522</t>
  </si>
  <si>
    <t>Dohyun Choi</t>
  </si>
  <si>
    <t>4576 7460 9685 6188</t>
  </si>
  <si>
    <t>58480256907</t>
  </si>
  <si>
    <t>3782 431206 7566</t>
  </si>
  <si>
    <t>71003941242</t>
  </si>
  <si>
    <t>Dual Teste</t>
  </si>
  <si>
    <t>4576 7460 3577 0487</t>
  </si>
  <si>
    <t>41356720862</t>
  </si>
  <si>
    <t>Eduarda Melo</t>
  </si>
  <si>
    <t>5373 6360 1346 3202</t>
  </si>
  <si>
    <t>862</t>
  </si>
  <si>
    <t>48184183070</t>
  </si>
  <si>
    <t>Elisa Moraes</t>
  </si>
  <si>
    <t>5373 6360 5864 8006</t>
  </si>
  <si>
    <t>150.00</t>
  </si>
  <si>
    <t>73012176728</t>
  </si>
  <si>
    <t>5442 7460 8105 6141</t>
  </si>
  <si>
    <t>728</t>
  </si>
  <si>
    <t>23317643366</t>
  </si>
  <si>
    <t>5185 4460 3642 5230</t>
  </si>
  <si>
    <t>28818393472</t>
  </si>
  <si>
    <t>5442 7460 1737 5584</t>
  </si>
  <si>
    <t>472</t>
  </si>
  <si>
    <t>09056318624</t>
  </si>
  <si>
    <t>Emily Rose Johnson</t>
  </si>
  <si>
    <t>6505 0666 6899 6592</t>
  </si>
  <si>
    <t>34814029705</t>
  </si>
  <si>
    <t>Enzo Costa</t>
  </si>
  <si>
    <t>5185 4460 6531 8322</t>
  </si>
  <si>
    <t>705</t>
  </si>
  <si>
    <t>09657598818</t>
  </si>
  <si>
    <t>Enzo Gabriel Santos</t>
  </si>
  <si>
    <t>5185 4460 9536 7737</t>
  </si>
  <si>
    <t>818</t>
  </si>
  <si>
    <t>45116448614</t>
  </si>
  <si>
    <t>Ernest Dumont</t>
  </si>
  <si>
    <t>5442 7460 9373 8248</t>
  </si>
  <si>
    <t>614</t>
  </si>
  <si>
    <t>60107482754</t>
  </si>
  <si>
    <t>Eudoxie Pons</t>
  </si>
  <si>
    <t>5442 7460 2404 4469</t>
  </si>
  <si>
    <t>754</t>
  </si>
  <si>
    <t>54879306193</t>
  </si>
  <si>
    <t>Fabricia Carvalho</t>
  </si>
  <si>
    <t>5442 7460 7728 6659</t>
  </si>
  <si>
    <t>193</t>
  </si>
  <si>
    <t>38780699103</t>
  </si>
  <si>
    <t>Fabricia Souza</t>
  </si>
  <si>
    <t>5442 7460 6561 9937</t>
  </si>
  <si>
    <t>103</t>
  </si>
  <si>
    <t>3714 800030 22204</t>
  </si>
  <si>
    <t>578</t>
  </si>
  <si>
    <t>79990005907</t>
  </si>
  <si>
    <t>Fahad Al-Ghamdi</t>
  </si>
  <si>
    <t>4576 7460 4996 3843</t>
  </si>
  <si>
    <t>42062517700</t>
  </si>
  <si>
    <t>6062 8200 1789 5908</t>
  </si>
  <si>
    <t>85246671844</t>
  </si>
  <si>
    <t>Falba David</t>
  </si>
  <si>
    <t>5442 7460 2333 1185</t>
  </si>
  <si>
    <t>844</t>
  </si>
  <si>
    <t>15351515369</t>
  </si>
  <si>
    <t>Fatima Al-Harbi</t>
  </si>
  <si>
    <t>6505 0666 9490 5042</t>
  </si>
  <si>
    <t>01843444259</t>
  </si>
  <si>
    <t>3782 296131 8895</t>
  </si>
  <si>
    <t>57070650914</t>
  </si>
  <si>
    <t>Felicia Costa</t>
  </si>
  <si>
    <t>5185 4460 8124 4130</t>
  </si>
  <si>
    <t>914</t>
  </si>
  <si>
    <t>42681570697</t>
  </si>
  <si>
    <t>Felix Weber</t>
  </si>
  <si>
    <t>6062 8200 2382 2068</t>
  </si>
  <si>
    <t>44444444444</t>
  </si>
  <si>
    <t>Fernanda Lima</t>
  </si>
  <si>
    <t>5442 7460 6411 5291</t>
  </si>
  <si>
    <t>444</t>
  </si>
  <si>
    <t>82676153420</t>
  </si>
  <si>
    <t>Firmin Renard</t>
  </si>
  <si>
    <t>5185 4460 3568 4779</t>
  </si>
  <si>
    <t>420</t>
  </si>
  <si>
    <t>24662236606</t>
  </si>
  <si>
    <t>Flavien Rodriguez</t>
  </si>
  <si>
    <t>5442 7460 4563 6437</t>
  </si>
  <si>
    <t>606</t>
  </si>
  <si>
    <t>16266323249</t>
  </si>
  <si>
    <t>Flore Schmitt</t>
  </si>
  <si>
    <t>5442 7460 9163 1125</t>
  </si>
  <si>
    <t>249</t>
  </si>
  <si>
    <t>37810513150</t>
  </si>
  <si>
    <t>Florie Fontaine</t>
  </si>
  <si>
    <t>5442 7460 7963 5511</t>
  </si>
  <si>
    <t>150</t>
  </si>
  <si>
    <t>19231521659</t>
  </si>
  <si>
    <t>Gabriel Vinicius Souza</t>
  </si>
  <si>
    <t>5067 1146 6189 842</t>
  </si>
  <si>
    <t>08813546270</t>
  </si>
  <si>
    <t>5373 6360 2204 3292</t>
  </si>
  <si>
    <t>270</t>
  </si>
  <si>
    <t>74929424194</t>
  </si>
  <si>
    <t>Giulia Russo</t>
  </si>
  <si>
    <t>4576 7460 6011 1623</t>
  </si>
  <si>
    <t>07154153601</t>
  </si>
  <si>
    <t>Goncalo Santos</t>
  </si>
  <si>
    <t>6062 8200 9467 2268</t>
  </si>
  <si>
    <t>05458223608</t>
  </si>
  <si>
    <t>Gustave Jacquet</t>
  </si>
  <si>
    <t>5442 7460 1587 4139</t>
  </si>
  <si>
    <t>608</t>
  </si>
  <si>
    <t>47783749321</t>
  </si>
  <si>
    <t>Haewon Jung</t>
  </si>
  <si>
    <t>5442 7460 2604 6712</t>
  </si>
  <si>
    <t>93544490340</t>
  </si>
  <si>
    <t>6505 0666 1667 2851</t>
  </si>
  <si>
    <t>88652173320</t>
  </si>
  <si>
    <t>Hanako Watanabe</t>
  </si>
  <si>
    <t>4576 7460 7004 9583</t>
  </si>
  <si>
    <t>76782744325</t>
  </si>
  <si>
    <t>4576 7460 3895 6613</t>
  </si>
  <si>
    <t>95167270006</t>
  </si>
  <si>
    <t>Hannah Fischer</t>
  </si>
  <si>
    <t>5442 7460 5925 5475</t>
  </si>
  <si>
    <t>88312964185</t>
  </si>
  <si>
    <t>4576 7460 2950 2106</t>
  </si>
  <si>
    <t>81722521295</t>
  </si>
  <si>
    <t>Hector Paris</t>
  </si>
  <si>
    <t>5442 7460 9108 3526</t>
  </si>
  <si>
    <t>295</t>
  </si>
  <si>
    <t>3400 800082 82627</t>
  </si>
  <si>
    <t>465</t>
  </si>
  <si>
    <t>15879566323</t>
  </si>
  <si>
    <t>Helena Saraiva</t>
  </si>
  <si>
    <t>5442 7460 6349 9696</t>
  </si>
  <si>
    <t>323</t>
  </si>
  <si>
    <t>37877781016</t>
  </si>
  <si>
    <t>Helio Reis</t>
  </si>
  <si>
    <t>5442 7460 0099 4593</t>
  </si>
  <si>
    <t>01424679958</t>
  </si>
  <si>
    <t>Henrique Moraes</t>
  </si>
  <si>
    <t>5373 6360 3167 0911</t>
  </si>
  <si>
    <t>87588846615</t>
  </si>
  <si>
    <t>Hermine Duval</t>
  </si>
  <si>
    <t>5442 7460 2039 8322</t>
  </si>
  <si>
    <t>85764469015</t>
  </si>
  <si>
    <t>Hilaire Breton</t>
  </si>
  <si>
    <t>5373 6360 4219 1477</t>
  </si>
  <si>
    <t>73857513853</t>
  </si>
  <si>
    <t>Ines Oliveira</t>
  </si>
  <si>
    <t>4576 7460 6790 3682</t>
  </si>
  <si>
    <t>19983621512</t>
  </si>
  <si>
    <t>Integration Test User</t>
  </si>
  <si>
    <t>5981 0121 1654 6893</t>
  </si>
  <si>
    <t>512</t>
  </si>
  <si>
    <t>88888888888</t>
  </si>
  <si>
    <t>5442 7460 9459 2389</t>
  </si>
  <si>
    <t>888</t>
  </si>
  <si>
    <t>57673944623</t>
  </si>
  <si>
    <t>Ira Morar</t>
  </si>
  <si>
    <t>5442 7460 5075 1068</t>
  </si>
  <si>
    <t>623</t>
  </si>
  <si>
    <t>85900332608</t>
  </si>
  <si>
    <t>Isaac Albuquerque</t>
  </si>
  <si>
    <t>5442 7460 7587 3581</t>
  </si>
  <si>
    <t>75775457404</t>
  </si>
  <si>
    <t>Isabela Rocha Carvalho</t>
  </si>
  <si>
    <t>5442 7460 5652 9579</t>
  </si>
  <si>
    <t>404</t>
  </si>
  <si>
    <t>89602248718</t>
  </si>
  <si>
    <t>Isabel Silva</t>
  </si>
  <si>
    <t>5364 2660 8793 9167</t>
  </si>
  <si>
    <t>718</t>
  </si>
  <si>
    <t>6370 9500 4517 7859</t>
  </si>
  <si>
    <t>438</t>
  </si>
  <si>
    <t>26775244657</t>
  </si>
  <si>
    <t>Isidore Morin</t>
  </si>
  <si>
    <t>5442 7460 9242 0200</t>
  </si>
  <si>
    <t>657</t>
  </si>
  <si>
    <t>42755630345</t>
  </si>
  <si>
    <t>Isis Silva</t>
  </si>
  <si>
    <t>5185 4460 0402 8636</t>
  </si>
  <si>
    <t>345</t>
  </si>
  <si>
    <t>26986473966</t>
  </si>
  <si>
    <t>Jacinthe Vidal</t>
  </si>
  <si>
    <t>5442 7460 8748 9625</t>
  </si>
  <si>
    <t>966</t>
  </si>
  <si>
    <t>26700822386</t>
  </si>
  <si>
    <t>Jean Dupont</t>
  </si>
  <si>
    <t>6062 8200 5369 4904</t>
  </si>
  <si>
    <t>67010691002</t>
  </si>
  <si>
    <t>6505 0666 7155 5022</t>
  </si>
  <si>
    <t>77551164685</t>
  </si>
  <si>
    <t>Jeannel Aubry</t>
  </si>
  <si>
    <t>5442 7460 1068 2788</t>
  </si>
  <si>
    <t>685</t>
  </si>
  <si>
    <t>45447544025</t>
  </si>
  <si>
    <t>Jian Liu</t>
  </si>
  <si>
    <t>6505 0666 6165 7964</t>
  </si>
  <si>
    <t>41750109719</t>
  </si>
  <si>
    <t>Jiwoo Park</t>
  </si>
  <si>
    <t>5442 7460 4468 2208</t>
  </si>
  <si>
    <t>15980864210</t>
  </si>
  <si>
    <t>Joao Lucas Santos</t>
  </si>
  <si>
    <t>5185 4460 5023 3908</t>
  </si>
  <si>
    <t>210</t>
  </si>
  <si>
    <t>54451216311</t>
  </si>
  <si>
    <t>Joao Miguel Franco</t>
  </si>
  <si>
    <t>5364 2660 0630 5144</t>
  </si>
  <si>
    <t>311</t>
  </si>
  <si>
    <t>18956389652</t>
  </si>
  <si>
    <t>5442 7460 8520 0590</t>
  </si>
  <si>
    <t>652</t>
  </si>
  <si>
    <t>01086796160</t>
  </si>
  <si>
    <t>Joao Pedro Silva</t>
  </si>
  <si>
    <t>3782 810474 1016</t>
  </si>
  <si>
    <t>18642038977</t>
  </si>
  <si>
    <t>Joaquin Gonzalez</t>
  </si>
  <si>
    <t>5442 7460 2626 2988</t>
  </si>
  <si>
    <t>30423481053</t>
  </si>
  <si>
    <t>6062 8200 2812 3053</t>
  </si>
  <si>
    <t>20092389589</t>
  </si>
  <si>
    <t>Joon Jeong</t>
  </si>
  <si>
    <t>6062 8200 7026 8413</t>
  </si>
  <si>
    <t>73129536620</t>
  </si>
  <si>
    <t>Juliana Lima Rezende</t>
  </si>
  <si>
    <t>4576 7460 1295 1259</t>
  </si>
  <si>
    <t>4576 7460 1411 7539</t>
  </si>
  <si>
    <t>762</t>
  </si>
  <si>
    <t>65487063583</t>
  </si>
  <si>
    <t>Julio Xavier</t>
  </si>
  <si>
    <t>5373 6360 1646 7101</t>
  </si>
  <si>
    <t>583</t>
  </si>
  <si>
    <t>20250513611</t>
  </si>
  <si>
    <t>Karla Melo</t>
  </si>
  <si>
    <t>5442 7460 6785 5678</t>
  </si>
  <si>
    <t>611</t>
  </si>
  <si>
    <t>92957697327</t>
  </si>
  <si>
    <t>Kenji Sato</t>
  </si>
  <si>
    <t>6505 0666 1952 5435</t>
  </si>
  <si>
    <t>16618184630</t>
  </si>
  <si>
    <t>6062 8200 1410 7804</t>
  </si>
  <si>
    <t>68737946439</t>
  </si>
  <si>
    <t>Khalid Al-Zahrani</t>
  </si>
  <si>
    <t>3782 490279 9866</t>
  </si>
  <si>
    <t>87300736009</t>
  </si>
  <si>
    <t>6062 8200 8940 1249</t>
  </si>
  <si>
    <t>24930613945</t>
  </si>
  <si>
    <t>Lane Larkin</t>
  </si>
  <si>
    <t>5442 7460 3631 2648</t>
  </si>
  <si>
    <t>945</t>
  </si>
  <si>
    <t>99721176699</t>
  </si>
  <si>
    <t>Laura Oliveira</t>
  </si>
  <si>
    <t>5442 7460 7842 0893</t>
  </si>
  <si>
    <t>699</t>
  </si>
  <si>
    <t>92454501635</t>
  </si>
  <si>
    <t>Laurine Maillard</t>
  </si>
  <si>
    <t>5442 7460 4528 6363</t>
  </si>
  <si>
    <t>635</t>
  </si>
  <si>
    <t>87111008855</t>
  </si>
  <si>
    <t>Lei Chen</t>
  </si>
  <si>
    <t>5442 7460 9738 1287</t>
  </si>
  <si>
    <t>09636364990</t>
  </si>
  <si>
    <t>3782 153566 5282</t>
  </si>
  <si>
    <t>89287038082</t>
  </si>
  <si>
    <t>Leonardo Bianchi</t>
  </si>
  <si>
    <t>5442 7460 4389 5317</t>
  </si>
  <si>
    <t>43128363455</t>
  </si>
  <si>
    <t>Leonardo Braga</t>
  </si>
  <si>
    <t>5185 4460 7495 1691</t>
  </si>
  <si>
    <t>455</t>
  </si>
  <si>
    <t>23915031801</t>
  </si>
  <si>
    <t>Liz Batista</t>
  </si>
  <si>
    <t>5364 2660 3743 2404</t>
  </si>
  <si>
    <t>801</t>
  </si>
  <si>
    <t>68141495240</t>
  </si>
  <si>
    <t>Lucas Gabriel Ferreira</t>
  </si>
  <si>
    <t>6505 0666 1745 4082</t>
  </si>
  <si>
    <t>00238338827</t>
  </si>
  <si>
    <t>3782 493613 7137</t>
  </si>
  <si>
    <t>80535757654</t>
  </si>
  <si>
    <t>Lucas Laurent</t>
  </si>
  <si>
    <t>6062 8200 7609 3088</t>
  </si>
  <si>
    <t>27146712338</t>
  </si>
  <si>
    <t>Lucas Oliveira</t>
  </si>
  <si>
    <t>5442 7460 0832 9024</t>
  </si>
  <si>
    <t>338</t>
  </si>
  <si>
    <t>73511641500</t>
  </si>
  <si>
    <t>Lucca Macedo</t>
  </si>
  <si>
    <t>5185 4460 2551 9506</t>
  </si>
  <si>
    <t>500</t>
  </si>
  <si>
    <t>84688882300</t>
  </si>
  <si>
    <t>Lucca Martins</t>
  </si>
  <si>
    <t>5442 7460 0195 2657</t>
  </si>
  <si>
    <t>300</t>
  </si>
  <si>
    <t>17058588562</t>
  </si>
  <si>
    <t>Lukas Schneider</t>
  </si>
  <si>
    <t>6062 8200 3014 7312</t>
  </si>
  <si>
    <t>13912221138</t>
  </si>
  <si>
    <t>3782 760745 3409</t>
  </si>
  <si>
    <t>81123471746</t>
  </si>
  <si>
    <t>Marcela Moreira</t>
  </si>
  <si>
    <t>5364 2660 6467 4217</t>
  </si>
  <si>
    <t>746</t>
  </si>
  <si>
    <t>57137689370</t>
  </si>
  <si>
    <t>Marcela Xavier</t>
  </si>
  <si>
    <t>5185 4460 5982 5787</t>
  </si>
  <si>
    <t>84823321987</t>
  </si>
  <si>
    <t>Marcel Breton</t>
  </si>
  <si>
    <t>5442 7460 1766 7750</t>
  </si>
  <si>
    <t>987</t>
  </si>
  <si>
    <t>4766 0760 5262 6492</t>
  </si>
  <si>
    <t>63566545708</t>
  </si>
  <si>
    <t>Marcia Santos</t>
  </si>
  <si>
    <t>5364 2660 5531 3197</t>
  </si>
  <si>
    <t>708</t>
  </si>
  <si>
    <t>93784945015</t>
  </si>
  <si>
    <t>Margarida Martins</t>
  </si>
  <si>
    <t>5442 7460 5748 2658</t>
  </si>
  <si>
    <t>12902848900</t>
  </si>
  <si>
    <t>Mariana Costa Silva</t>
  </si>
  <si>
    <t>4576 7460 6419 0687</t>
  </si>
  <si>
    <t>28177566814</t>
  </si>
  <si>
    <t>3782 155660 6516</t>
  </si>
  <si>
    <t>98362511206</t>
  </si>
  <si>
    <t>Maria Santos</t>
  </si>
  <si>
    <t>5364 2660 1540 4490</t>
  </si>
  <si>
    <t>206</t>
  </si>
  <si>
    <t>92226402250</t>
  </si>
  <si>
    <t>Marina Carvalho</t>
  </si>
  <si>
    <t>5364 2660 1905 5884</t>
  </si>
  <si>
    <t>250</t>
  </si>
  <si>
    <t>80417045181</t>
  </si>
  <si>
    <t>Marli Carvalho</t>
  </si>
  <si>
    <t>5442 7460 5473 5974</t>
  </si>
  <si>
    <t>181</t>
  </si>
  <si>
    <t>02915062919</t>
  </si>
  <si>
    <t>Martim Costa</t>
  </si>
  <si>
    <t>6505 0666 7166 3754</t>
  </si>
  <si>
    <t>72856446096</t>
  </si>
  <si>
    <t>Marvin Dietrich</t>
  </si>
  <si>
    <t>5442 7460 1716 7924</t>
  </si>
  <si>
    <t>88877766655</t>
  </si>
  <si>
    <t>Massa Teste DB Real</t>
  </si>
  <si>
    <t>5442 7460 5720 1203</t>
  </si>
  <si>
    <t>655</t>
  </si>
  <si>
    <t>38160081359</t>
  </si>
  <si>
    <t>Mateo Fernandez</t>
  </si>
  <si>
    <t>6062 8200 6029 3753</t>
  </si>
  <si>
    <t>88339779788</t>
  </si>
  <si>
    <t>Mathilde Le gall</t>
  </si>
  <si>
    <t>5442 7460 7512 2955</t>
  </si>
  <si>
    <t>788</t>
  </si>
  <si>
    <t>23626419533</t>
  </si>
  <si>
    <t>Matteo Rossi</t>
  </si>
  <si>
    <t>5442 7460 2709 5864</t>
  </si>
  <si>
    <t>34715548313</t>
  </si>
  <si>
    <t>Maurice Meyer</t>
  </si>
  <si>
    <t>5442 7460 5940 3931</t>
  </si>
  <si>
    <t>313</t>
  </si>
  <si>
    <t>74478435715</t>
  </si>
  <si>
    <t>Maximilian Mueller</t>
  </si>
  <si>
    <t>6505 0666 6916 0630</t>
  </si>
  <si>
    <t>24369438004</t>
  </si>
  <si>
    <t>6062 8200 7915 2689</t>
  </si>
  <si>
    <t>40207277168</t>
  </si>
  <si>
    <t>Mercia Oliveira</t>
  </si>
  <si>
    <t>5185 4460 6676 7873</t>
  </si>
  <si>
    <t>168</t>
  </si>
  <si>
    <t>34310951783</t>
  </si>
  <si>
    <t>Michael David Williams</t>
  </si>
  <si>
    <t>6062 8200 9426 0604</t>
  </si>
  <si>
    <t>47591910388</t>
  </si>
  <si>
    <t>5442 7460 3483 8572</t>
  </si>
  <si>
    <t>92808200609</t>
  </si>
  <si>
    <t>Ming Zhang</t>
  </si>
  <si>
    <t>5442 7460 7882 7909</t>
  </si>
  <si>
    <t>50058578501</t>
  </si>
  <si>
    <t>Minjun Kim</t>
  </si>
  <si>
    <t>6062 8200 3229 1653</t>
  </si>
  <si>
    <t>37107075012</t>
  </si>
  <si>
    <t>6505 0666 2639 6273</t>
  </si>
  <si>
    <t>16165143539</t>
  </si>
  <si>
    <t>5442 7460 5909 1739</t>
  </si>
  <si>
    <t>539</t>
  </si>
  <si>
    <t>4576 7460 3018 3424</t>
  </si>
  <si>
    <t>814</t>
  </si>
  <si>
    <t>58628880208</t>
  </si>
  <si>
    <t>Morgan Poirier</t>
  </si>
  <si>
    <t>5442 7460 3696 2770</t>
  </si>
  <si>
    <t>208</t>
  </si>
  <si>
    <t>93852856961</t>
  </si>
  <si>
    <t>5442 7460 1816 6483</t>
  </si>
  <si>
    <t>961</t>
  </si>
  <si>
    <t>77529588591</t>
  </si>
  <si>
    <t>Nathalie Fournier</t>
  </si>
  <si>
    <t>5442 7460 9991 0293</t>
  </si>
  <si>
    <t>591</t>
  </si>
  <si>
    <t>77485258974</t>
  </si>
  <si>
    <t>Nicolas Reis</t>
  </si>
  <si>
    <t>5185 4460 3712 0103</t>
  </si>
  <si>
    <t>974</t>
  </si>
  <si>
    <t>98215828507</t>
  </si>
  <si>
    <t>Noura Al-Saud</t>
  </si>
  <si>
    <t>4576 7460 9102 4721</t>
  </si>
  <si>
    <t>72314189884</t>
  </si>
  <si>
    <t>5442 7460 6181 5967</t>
  </si>
  <si>
    <t>3787 800063 66588</t>
  </si>
  <si>
    <t>626</t>
  </si>
  <si>
    <t>32749568803</t>
  </si>
  <si>
    <t>Odile Bernard</t>
  </si>
  <si>
    <t>5373 6360 4888 5791</t>
  </si>
  <si>
    <t>803</t>
  </si>
  <si>
    <t>17334727380</t>
  </si>
  <si>
    <t>Odile Meunier</t>
  </si>
  <si>
    <t>5442 7460 6457 6600</t>
  </si>
  <si>
    <t>380</t>
  </si>
  <si>
    <t>65921979198</t>
  </si>
  <si>
    <t>Olivia Elizabeth Davis</t>
  </si>
  <si>
    <t>3782 964484 9713</t>
  </si>
  <si>
    <t>48431018434</t>
  </si>
  <si>
    <t>Opal King</t>
  </si>
  <si>
    <t>5442 7460 2097 3752</t>
  </si>
  <si>
    <t>434</t>
  </si>
  <si>
    <t>81698023189</t>
  </si>
  <si>
    <t>Oury Roche</t>
  </si>
  <si>
    <t>5442 7460 6843 4377</t>
  </si>
  <si>
    <t>33522298364</t>
  </si>
  <si>
    <t>Paula Barros</t>
  </si>
  <si>
    <t>5442 7460 8142 6976</t>
  </si>
  <si>
    <t>364</t>
  </si>
  <si>
    <t>61369613180</t>
  </si>
  <si>
    <t>Paulette Jean</t>
  </si>
  <si>
    <t>5442 7460 5165 4834</t>
  </si>
  <si>
    <t>180</t>
  </si>
  <si>
    <t>5442 7460 9732 0132</t>
  </si>
  <si>
    <t>585</t>
  </si>
  <si>
    <t>28832869497</t>
  </si>
  <si>
    <t>5442 7460 8592 9077</t>
  </si>
  <si>
    <t>497</t>
  </si>
  <si>
    <t>24719788947</t>
  </si>
  <si>
    <t>5442 7460 6080 0554</t>
  </si>
  <si>
    <t>947</t>
  </si>
  <si>
    <t>35417211460</t>
  </si>
  <si>
    <t>Pierre Bernard</t>
  </si>
  <si>
    <t>5442 7460 6905 0790</t>
  </si>
  <si>
    <t>95970102598</t>
  </si>
  <si>
    <t>Pietro Carvalho</t>
  </si>
  <si>
    <t>5373 6360 2570 9865</t>
  </si>
  <si>
    <t>598</t>
  </si>
  <si>
    <t>67154864257</t>
  </si>
  <si>
    <t>Prosper Julien</t>
  </si>
  <si>
    <t>5442 7460 3333 2884</t>
  </si>
  <si>
    <t>257</t>
  </si>
  <si>
    <t>27788134384</t>
  </si>
  <si>
    <t>Rafaela Nogueira</t>
  </si>
  <si>
    <t>5185 4460 1236 3660</t>
  </si>
  <si>
    <t>384</t>
  </si>
  <si>
    <t>42975897884</t>
  </si>
  <si>
    <t>Rafael Moreira</t>
  </si>
  <si>
    <t>5442 7460 6663 2979</t>
  </si>
  <si>
    <t>92134441682</t>
  </si>
  <si>
    <t>Rafael Nogueira</t>
  </si>
  <si>
    <t>5442 7460 0100 0259</t>
  </si>
  <si>
    <t>682</t>
  </si>
  <si>
    <t>6505 0666 4090 4551</t>
  </si>
  <si>
    <t>783</t>
  </si>
  <si>
    <t>76726514039</t>
  </si>
  <si>
    <t>Rafael Xavier</t>
  </si>
  <si>
    <t>5442 7460 2091 1845</t>
  </si>
  <si>
    <t>76671725950</t>
  </si>
  <si>
    <t>Raymonde Bernard</t>
  </si>
  <si>
    <t>5442 7460 6274 1188</t>
  </si>
  <si>
    <t>950</t>
  </si>
  <si>
    <t>51243235758</t>
  </si>
  <si>
    <t>Rebeca Moreira</t>
  </si>
  <si>
    <t>5442 7460 9444 2887</t>
  </si>
  <si>
    <t>758</t>
  </si>
  <si>
    <t>27888186700</t>
  </si>
  <si>
    <t>5442 7460 2688 1150</t>
  </si>
  <si>
    <t>700</t>
  </si>
  <si>
    <t>80665429410</t>
  </si>
  <si>
    <t>Ren Ito</t>
  </si>
  <si>
    <t>3782 910865 8932</t>
  </si>
  <si>
    <t>41649264658</t>
  </si>
  <si>
    <t>6505 0666 7023 0156</t>
  </si>
  <si>
    <t>78475680046</t>
  </si>
  <si>
    <t>Rodrigo Mendes Oliveira</t>
  </si>
  <si>
    <t>5442 7460 6201 6839</t>
  </si>
  <si>
    <t>42074143630</t>
  </si>
  <si>
    <t>Roselin Arnaud</t>
  </si>
  <si>
    <t>5364 2660 9470 1600</t>
  </si>
  <si>
    <t>630</t>
  </si>
  <si>
    <t>4203 1060 1720 4159</t>
  </si>
  <si>
    <t>805</t>
  </si>
  <si>
    <t>6505 0666 7940 5736</t>
  </si>
  <si>
    <t>687</t>
  </si>
  <si>
    <t>43316626409</t>
  </si>
  <si>
    <t>Samuel Carvalho</t>
  </si>
  <si>
    <t>5442 7460 3547 2177</t>
  </si>
  <si>
    <t>409</t>
  </si>
  <si>
    <t>11879646706</t>
  </si>
  <si>
    <t>Santiago Gomez</t>
  </si>
  <si>
    <t>6505 0666 7565 3509</t>
  </si>
  <si>
    <t>6062 8200 7050 9297</t>
  </si>
  <si>
    <t>897</t>
  </si>
  <si>
    <t>08025476561</t>
  </si>
  <si>
    <t>Seoyun Lee</t>
  </si>
  <si>
    <t>3782 532467 8360</t>
  </si>
  <si>
    <t>82474679928</t>
  </si>
  <si>
    <t>Sofia Esposito</t>
  </si>
  <si>
    <t>6062 8200 2915 7609</t>
  </si>
  <si>
    <t>16180339887</t>
  </si>
  <si>
    <t>Solda Final Teste</t>
  </si>
  <si>
    <t>3782 971602 1482</t>
  </si>
  <si>
    <t>27182818284</t>
  </si>
  <si>
    <t>Sonda Evento Bus</t>
  </si>
  <si>
    <t>6505 0666 7067 1211</t>
  </si>
  <si>
    <t>49768246758</t>
  </si>
  <si>
    <t>Sophia Grace Brown</t>
  </si>
  <si>
    <t>6062 8200 6757 6160</t>
  </si>
  <si>
    <t>66069157834</t>
  </si>
  <si>
    <t>Sophia Macedo</t>
  </si>
  <si>
    <t>5373 6360 0487 1231</t>
  </si>
  <si>
    <t>834</t>
  </si>
  <si>
    <t>15803041416</t>
  </si>
  <si>
    <t>Sophie Schmidt</t>
  </si>
  <si>
    <t>6062 8200 8153 1556</t>
  </si>
  <si>
    <t>03665706173</t>
  </si>
  <si>
    <t>Suelen Oliveira</t>
  </si>
  <si>
    <t>5185 4460 5544 6257</t>
  </si>
  <si>
    <t>173</t>
  </si>
  <si>
    <t>59127562468</t>
  </si>
  <si>
    <t>Tariq Al-Mansoor</t>
  </si>
  <si>
    <t>5442 7460 9214 5172</t>
  </si>
  <si>
    <t>12558823280</t>
  </si>
  <si>
    <t>4576 7460 7292 2294</t>
  </si>
  <si>
    <t>51742065392</t>
  </si>
  <si>
    <t>Taro Tanaka</t>
  </si>
  <si>
    <t>4576 7460 9383 4990</t>
  </si>
  <si>
    <t>6505 1960 7465 5476</t>
  </si>
  <si>
    <t>205</t>
  </si>
  <si>
    <t>31415926535</t>
  </si>
  <si>
    <t>Teste Solda Evento</t>
  </si>
  <si>
    <t>4576 7460 8954 9038</t>
  </si>
  <si>
    <t>88888888889</t>
  </si>
  <si>
    <t>teste teste</t>
  </si>
  <si>
    <t>5442 7460 6181 1207</t>
  </si>
  <si>
    <t>889</t>
  </si>
  <si>
    <t>12345678901</t>
  </si>
  <si>
    <t>Test User</t>
  </si>
  <si>
    <t>6505 2260 9151 8876</t>
  </si>
  <si>
    <t>901</t>
  </si>
  <si>
    <t>77777777777</t>
  </si>
  <si>
    <t>5442 7460 6378 1888</t>
  </si>
  <si>
    <t>12345678909</t>
  </si>
  <si>
    <t>5442 7460 0887 2353</t>
  </si>
  <si>
    <t>909</t>
  </si>
  <si>
    <t>98765432100</t>
  </si>
  <si>
    <t>User Teste</t>
  </si>
  <si>
    <t>5442 7460 8915 7058</t>
  </si>
  <si>
    <t>100</t>
  </si>
  <si>
    <t>46945365409</t>
  </si>
  <si>
    <t>Valentina Rodriguez</t>
  </si>
  <si>
    <t>4576 7460 2148 2328</t>
  </si>
  <si>
    <t>23201979902</t>
  </si>
  <si>
    <t>Vitor Albuquerque</t>
  </si>
  <si>
    <t>5442 7460 2829 3788</t>
  </si>
  <si>
    <t>902</t>
  </si>
  <si>
    <t>6062 8200 3828 9636</t>
  </si>
  <si>
    <t>590</t>
  </si>
  <si>
    <t>84585226834</t>
  </si>
  <si>
    <t>Wei Li</t>
  </si>
  <si>
    <t>6062 8200 1482 6074</t>
  </si>
  <si>
    <t>29910306743</t>
  </si>
  <si>
    <t>William Robert Miller</t>
  </si>
  <si>
    <t>6505 0666 6048 3970</t>
  </si>
  <si>
    <t>30857462261</t>
  </si>
  <si>
    <t>3782 307314 7663</t>
  </si>
  <si>
    <t>64332859618</t>
  </si>
  <si>
    <t>Xavier Thomas</t>
  </si>
  <si>
    <t>5442 7460 5170 1435</t>
  </si>
  <si>
    <t>96873928860</t>
  </si>
  <si>
    <t>Xiu Ying Wang</t>
  </si>
  <si>
    <t>4576 7460 4070 1907</t>
  </si>
  <si>
    <t>77751515015</t>
  </si>
  <si>
    <t>Yan Yang</t>
  </si>
  <si>
    <t>3782 111460 0263</t>
  </si>
  <si>
    <t>12923841310</t>
  </si>
  <si>
    <t>Youssef Al-Otaibi</t>
  </si>
  <si>
    <t>4576 7460 4366 5432</t>
  </si>
  <si>
    <t>11004395108</t>
  </si>
  <si>
    <t>3782 392688 5764</t>
  </si>
  <si>
    <t>77148062578</t>
  </si>
  <si>
    <t>Yuki Takahashi</t>
  </si>
  <si>
    <t>6062 8200 9857 5516</t>
  </si>
  <si>
    <t>CT02.1</t>
  </si>
  <si>
    <t>Enviar Pix por CPF e validar comprovante no extrato</t>
  </si>
  <si>
    <t>pix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</si>
  <si>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</si>
  <si>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</si>
  <si>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</si>
  <si>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</si>
  <si>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</si>
  <si>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</si>
  <si>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</si>
  <si>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</si>
  <si>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</si>
  <si>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</si>
  <si>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</si>
  <si>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</si>
  <si>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</si>
  <si>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</si>
  <si>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</si>
  <si>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</si>
  <si>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</si>
  <si>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</si>
  <si>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</si>
  <si>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</si>
  <si>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</si>
  <si>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</si>
  <si>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</si>
  <si>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</si>
  <si>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</si>
  <si>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</si>
  <si>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</si>
  <si>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</si>
  <si>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</si>
  <si>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</si>
  <si>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</si>
  <si>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</si>
  <si>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</si>
  <si>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</si>
  <si>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</si>
  <si>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</si>
  <si>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</si>
  <si>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</si>
  <si>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</si>
  <si>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</si>
  <si>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</si>
  <si>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</si>
  <si>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</si>
  <si>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</si>
  <si>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</si>
  <si>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</si>
  <si>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</si>
  <si>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</si>
  <si>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</si>
  <si>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</si>
  <si>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</si>
  <si>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</si>
  <si>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</si>
  <si>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</si>
  <si>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</si>
  <si>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</si>
  <si>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</si>
  <si>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</si>
  <si>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</si>
  <si>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</si>
  <si>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</si>
  <si>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</si>
  <si>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</si>
  <si>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</si>
  <si>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</si>
  <si>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</si>
  <si>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</si>
  <si>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</si>
  <si>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</si>
  <si>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</si>
  <si>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</si>
  <si>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</si>
  <si>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</si>
  <si>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</si>
  <si>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</si>
  <si>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</si>
  <si>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</si>
  <si>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</si>
  <si>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</si>
  <si>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</si>
  <si>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</si>
  <si>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</si>
  <si>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</si>
  <si>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</si>
  <si>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</si>
  <si>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</si>
  <si>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</si>
  <si>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</si>
  <si>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</si>
  <si>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</si>
  <si>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</si>
  <si>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</si>
  <si>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</si>
  <si>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</si>
  <si>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</si>
  <si>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</si>
  <si>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</si>
  <si>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</si>
  <si>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</si>
  <si>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</si>
  <si>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</si>
  <si>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</si>
  <si>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</si>
  <si>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</si>
  <si>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</si>
  <si>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</si>
  <si>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</si>
  <si>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</si>
  <si>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</si>
  <si>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</si>
  <si>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</si>
  <si>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</si>
  <si>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</si>
  <si>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</si>
  <si>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</si>
  <si>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</si>
  <si>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</si>
  <si>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</si>
  <si>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</si>
  <si>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</si>
  <si>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</si>
  <si>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</si>
  <si>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ID_USUARIO</t>
  </si>
  <si>
    <t>CHAVE_ALEATORIA</t>
  </si>
  <si>
    <t xml:space="preserve">VALOR </t>
  </si>
  <si>
    <t>CARACTERISTICAS</t>
  </si>
  <si>
    <t>SALDO</t>
  </si>
  <si>
    <t>OBSERVACAO</t>
  </si>
  <si>
    <t>Receber PIX</t>
  </si>
  <si>
    <t>Valor PIX</t>
  </si>
  <si>
    <t>Nome Completo</t>
  </si>
  <si>
    <t>0016</t>
  </si>
  <si>
    <t>0018</t>
  </si>
  <si>
    <t>0019</t>
  </si>
  <si>
    <t>0020</t>
  </si>
  <si>
    <t>0021</t>
  </si>
  <si>
    <t>0022</t>
  </si>
  <si>
    <t>0023</t>
  </si>
  <si>
    <t>0024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</si>
  <si>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</si>
  <si>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</si>
  <si>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</si>
  <si>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</si>
  <si>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</si>
  <si>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</si>
  <si>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</si>
  <si>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</si>
  <si>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</si>
  <si>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</si>
  <si>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</si>
  <si>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</si>
  <si>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</si>
  <si>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</si>
  <si>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</si>
  <si>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</si>
  <si>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</si>
  <si>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</si>
  <si>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</si>
  <si>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</si>
  <si>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</si>
  <si>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</si>
  <si>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</si>
  <si>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</si>
  <si>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</si>
  <si>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</si>
  <si>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</si>
  <si>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</si>
  <si>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</si>
  <si>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</si>
  <si>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</si>
  <si>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</si>
  <si>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</si>
  <si>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</si>
  <si>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</si>
  <si>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</si>
  <si>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</si>
  <si>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</si>
  <si>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</si>
  <si>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</si>
  <si>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</si>
  <si>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</si>
  <si>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</si>
  <si>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</si>
  <si>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</si>
  <si>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</si>
  <si>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</si>
  <si>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</si>
  <si>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</si>
  <si>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</si>
  <si>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</si>
  <si>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</si>
  <si>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</si>
  <si>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</si>
  <si>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</si>
  <si>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</si>
  <si>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</si>
  <si>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</si>
  <si>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</si>
  <si>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</si>
  <si>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</si>
  <si>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</si>
  <si>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</si>
  <si>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</si>
  <si>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</si>
  <si>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</si>
  <si>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</si>
  <si>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</si>
  <si>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</si>
  <si>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</si>
  <si>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</si>
  <si>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</si>
  <si>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</si>
  <si>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CT02.2</t>
  </si>
  <si>
    <t>Bloquear envio de Pix quando o saldo é insuficiente</t>
  </si>
  <si>
    <t>11</t>
  </si>
  <si>
    <t>CT02.3</t>
  </si>
  <si>
    <t>Tentar enviar Pix sem saldo e validar o bloqueio da UI</t>
  </si>
  <si>
    <t>CT03.2</t>
  </si>
  <si>
    <t>CT03.3</t>
  </si>
  <si>
    <t>fatura</t>
  </si>
  <si>
    <t>admin1000</t>
  </si>
  <si>
    <t>150.01</t>
  </si>
  <si>
    <t>admin1001</t>
  </si>
  <si>
    <t>150.02</t>
  </si>
  <si>
    <t>admin1002</t>
  </si>
  <si>
    <t>150.03</t>
  </si>
  <si>
    <t>PIN</t>
  </si>
  <si>
    <t>CARTÃO</t>
  </si>
  <si>
    <t>12</t>
  </si>
  <si>
    <t>13</t>
  </si>
  <si>
    <t>14</t>
  </si>
  <si>
    <t>admin1003</t>
  </si>
  <si>
    <t>admin1004</t>
  </si>
  <si>
    <t>admin1005</t>
  </si>
  <si>
    <t>admin1006</t>
  </si>
  <si>
    <t>admin1007</t>
  </si>
  <si>
    <t>admin1008</t>
  </si>
  <si>
    <t>admin1009</t>
  </si>
  <si>
    <t>admin1010</t>
  </si>
  <si>
    <t>admin1011</t>
  </si>
  <si>
    <t>admin1012</t>
  </si>
  <si>
    <t>admin1013</t>
  </si>
  <si>
    <t>admin1014</t>
  </si>
  <si>
    <t>admin1015</t>
  </si>
  <si>
    <t>admin1016</t>
  </si>
  <si>
    <t>admin1017</t>
  </si>
  <si>
    <t>admin1018</t>
  </si>
  <si>
    <t>admin1019</t>
  </si>
  <si>
    <t>admin1020</t>
  </si>
  <si>
    <t>admin1021</t>
  </si>
  <si>
    <t>admin1022</t>
  </si>
  <si>
    <t>admin1023</t>
  </si>
  <si>
    <t>admin1024</t>
  </si>
  <si>
    <t>admin1025</t>
  </si>
  <si>
    <t>admin1026</t>
  </si>
  <si>
    <t>admin1027</t>
  </si>
  <si>
    <t>admin1028</t>
  </si>
  <si>
    <t>admin1029</t>
  </si>
  <si>
    <t>admin1030</t>
  </si>
  <si>
    <t>admin1031</t>
  </si>
  <si>
    <t>admin1032</t>
  </si>
  <si>
    <t>admin1033</t>
  </si>
  <si>
    <t>admin1034</t>
  </si>
  <si>
    <t>admin1035</t>
  </si>
  <si>
    <t>admin1036</t>
  </si>
  <si>
    <t>admin1037</t>
  </si>
  <si>
    <t>admin1038</t>
  </si>
  <si>
    <t>admin1039</t>
  </si>
  <si>
    <t>admin1040</t>
  </si>
  <si>
    <t>admin1041</t>
  </si>
  <si>
    <t>admin1042</t>
  </si>
  <si>
    <t>admin1043</t>
  </si>
  <si>
    <t>admin1044</t>
  </si>
  <si>
    <t>admin1045</t>
  </si>
  <si>
    <t>admin1046</t>
  </si>
  <si>
    <t>admin1047</t>
  </si>
  <si>
    <t>admin1048</t>
  </si>
  <si>
    <t>admin1049</t>
  </si>
  <si>
    <t>admin1050</t>
  </si>
  <si>
    <t>admin1051</t>
  </si>
  <si>
    <t>admin1052</t>
  </si>
  <si>
    <t>admin1053</t>
  </si>
  <si>
    <t>admin1054</t>
  </si>
  <si>
    <t>admin1055</t>
  </si>
  <si>
    <t>admin1056</t>
  </si>
  <si>
    <t>admin1057</t>
  </si>
  <si>
    <t>admin1058</t>
  </si>
  <si>
    <t>admin1059</t>
  </si>
  <si>
    <t>admin1060</t>
  </si>
  <si>
    <t>admin1061</t>
  </si>
  <si>
    <t>admin1062</t>
  </si>
  <si>
    <t>admin1063</t>
  </si>
  <si>
    <t>admin1064</t>
  </si>
  <si>
    <t>admin1065</t>
  </si>
  <si>
    <t>admin1066</t>
  </si>
  <si>
    <t>admin1067</t>
  </si>
  <si>
    <t>admin1068</t>
  </si>
  <si>
    <t>admin1069</t>
  </si>
  <si>
    <t>admin1070</t>
  </si>
  <si>
    <t>admin1071</t>
  </si>
  <si>
    <t>admin1072</t>
  </si>
  <si>
    <t>admin1073</t>
  </si>
  <si>
    <t>admin1074</t>
  </si>
  <si>
    <t>admin1075</t>
  </si>
  <si>
    <t>admin1076</t>
  </si>
  <si>
    <t>admin1077</t>
  </si>
  <si>
    <t>admin1078</t>
  </si>
  <si>
    <t>admin1079</t>
  </si>
  <si>
    <t>admin1080</t>
  </si>
  <si>
    <t>admin1081</t>
  </si>
  <si>
    <t>admin1082</t>
  </si>
  <si>
    <t>admin1083</t>
  </si>
  <si>
    <t>admin1084</t>
  </si>
  <si>
    <t>admin1085</t>
  </si>
  <si>
    <t>admin1086</t>
  </si>
  <si>
    <t>admin1087</t>
  </si>
  <si>
    <t>admin1088</t>
  </si>
  <si>
    <t>admin1089</t>
  </si>
  <si>
    <t>admin1090</t>
  </si>
  <si>
    <t>admin1091</t>
  </si>
  <si>
    <t>admin1092</t>
  </si>
  <si>
    <t>admin1093</t>
  </si>
  <si>
    <t>admin1094</t>
  </si>
  <si>
    <t>admin1095</t>
  </si>
  <si>
    <t>admin1096</t>
  </si>
  <si>
    <t>admin1097</t>
  </si>
  <si>
    <t>admin1098</t>
  </si>
  <si>
    <t>admin1099</t>
  </si>
  <si>
    <t>admin1100</t>
  </si>
  <si>
    <t>admin1101</t>
  </si>
  <si>
    <t>admin1102</t>
  </si>
  <si>
    <t>admin1103</t>
  </si>
  <si>
    <t>admin1104</t>
  </si>
  <si>
    <t>admin1105</t>
  </si>
  <si>
    <t>admin1106</t>
  </si>
  <si>
    <t>admin1107</t>
  </si>
  <si>
    <t>admin1108</t>
  </si>
  <si>
    <t>admin1109</t>
  </si>
  <si>
    <t>admin1110</t>
  </si>
  <si>
    <t>admin1111</t>
  </si>
  <si>
    <t>admin1112</t>
  </si>
  <si>
    <t>admin1113</t>
  </si>
  <si>
    <t>admin1114</t>
  </si>
  <si>
    <t>admin1115</t>
  </si>
  <si>
    <t>admin1116</t>
  </si>
  <si>
    <t>admin1117</t>
  </si>
  <si>
    <t>admin1118</t>
  </si>
  <si>
    <t>admin1119</t>
  </si>
  <si>
    <t>admin1120</t>
  </si>
  <si>
    <t>admin1121</t>
  </si>
  <si>
    <t>admin1122</t>
  </si>
  <si>
    <t>admin1123</t>
  </si>
  <si>
    <t>admin1124</t>
  </si>
  <si>
    <t>admin1125</t>
  </si>
  <si>
    <t>admin1126</t>
  </si>
  <si>
    <t>admin1127</t>
  </si>
  <si>
    <t>admin1128</t>
  </si>
  <si>
    <t>admin1129</t>
  </si>
  <si>
    <t>admin1130</t>
  </si>
  <si>
    <t>0222</t>
  </si>
  <si>
    <t>0223</t>
  </si>
  <si>
    <t>0224</t>
  </si>
  <si>
    <t>CT03.4</t>
  </si>
  <si>
    <t>CT03.5</t>
  </si>
  <si>
    <t>C_0225</t>
  </si>
  <si>
    <t>id_massa</t>
  </si>
  <si>
    <t>dia_vencimento</t>
  </si>
  <si>
    <t>nome_completo</t>
  </si>
  <si>
    <t>status</t>
  </si>
  <si>
    <t>data_criação</t>
  </si>
  <si>
    <t>inadimplente</t>
  </si>
  <si>
    <t>Natália Moraes</t>
  </si>
  <si>
    <t>adimplente</t>
  </si>
  <si>
    <t>Alícia Barros</t>
  </si>
  <si>
    <t>Elísio Souza</t>
  </si>
  <si>
    <t>César Braga</t>
  </si>
  <si>
    <t>João Miguel Silva</t>
  </si>
  <si>
    <t>Albéric Prevost</t>
  </si>
  <si>
    <t>René Gautier</t>
  </si>
  <si>
    <t>Émile Clement</t>
  </si>
  <si>
    <t>Moïsette Maillard</t>
  </si>
  <si>
    <t>Philothée Charles</t>
  </si>
  <si>
    <t>Philomène Fabre</t>
  </si>
  <si>
    <t>Albérade Chevalier</t>
  </si>
  <si>
    <t>Gaëlle Joly</t>
  </si>
  <si>
    <t>Élzéar Marie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</si>
  <si>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</si>
  <si>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</si>
  <si>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</si>
  <si>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</si>
  <si>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</si>
  <si>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</si>
  <si>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</si>
  <si>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</si>
  <si>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</si>
  <si>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</si>
  <si>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</si>
  <si>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</si>
  <si>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</si>
  <si>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</si>
  <si>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</si>
  <si>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</si>
  <si>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</si>
  <si>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</si>
  <si>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</si>
  <si>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</si>
  <si>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</si>
  <si>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</si>
  <si>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</si>
  <si>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</si>
  <si>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</si>
  <si>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</si>
  <si>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</si>
  <si>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</si>
  <si>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</si>
  <si>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3714 800007 66662</t>
  </si>
  <si>
    <t>735</t>
  </si>
  <si>
    <t>0254</t>
  </si>
  <si>
    <t>5185 4460 6097 8021</t>
  </si>
  <si>
    <t>496</t>
  </si>
  <si>
    <t>0255</t>
  </si>
  <si>
    <t>0256</t>
  </si>
  <si>
    <t>0257</t>
  </si>
  <si>
    <t>70080586597</t>
  </si>
  <si>
    <t>Teste Verificacao Pin</t>
  </si>
  <si>
    <t>5442 7460 9819 2000</t>
  </si>
  <si>
    <t>46</t>
  </si>
  <si>
    <t>0258</t>
  </si>
  <si>
    <t>77671688088</t>
  </si>
  <si>
    <t>3782 792990 4076</t>
  </si>
  <si>
    <t>0259</t>
  </si>
  <si>
    <t>47730117347</t>
  </si>
  <si>
    <t>4576 7460 4476 4438</t>
  </si>
  <si>
    <t>0260</t>
  </si>
  <si>
    <t>24415291457</t>
  </si>
  <si>
    <t>4576 7460 9054 3446</t>
  </si>
  <si>
    <t>0261</t>
  </si>
  <si>
    <t>77911486336</t>
  </si>
  <si>
    <t>3782 136636 9049</t>
  </si>
  <si>
    <t>0262</t>
  </si>
  <si>
    <t>59912891155</t>
  </si>
  <si>
    <t>6062 8200 6653 5701</t>
  </si>
  <si>
    <t>0263</t>
  </si>
  <si>
    <t>52627600907</t>
  </si>
  <si>
    <t>6505 0666 3778 9421</t>
  </si>
  <si>
    <t>0264</t>
  </si>
  <si>
    <t>51484422635</t>
  </si>
  <si>
    <t>6505 0666 2920 0649</t>
  </si>
  <si>
    <t>0265</t>
  </si>
  <si>
    <t>32653492091</t>
  </si>
  <si>
    <t>6062 8200 4058 1358</t>
  </si>
  <si>
    <t>0266</t>
  </si>
  <si>
    <t>09044605330</t>
  </si>
  <si>
    <t>6505 0666 6856 2270</t>
  </si>
  <si>
    <t>0267</t>
  </si>
  <si>
    <t>54688525273</t>
  </si>
  <si>
    <t>5442 7460 9954 1781</t>
  </si>
  <si>
    <t>0268</t>
  </si>
  <si>
    <t>49189459024</t>
  </si>
  <si>
    <t>6505 0666 5246 2732</t>
  </si>
  <si>
    <t>0269</t>
  </si>
  <si>
    <t>39121865108</t>
  </si>
  <si>
    <t>6505 0666 1671 6546</t>
  </si>
  <si>
    <t>6505 0666 3039 9501</t>
  </si>
  <si>
    <t>0270</t>
  </si>
  <si>
    <t>77025402907</t>
  </si>
  <si>
    <t>4576 7460 3620 5020</t>
  </si>
  <si>
    <t>4576 7460 6462 8999</t>
  </si>
  <si>
    <t>0271</t>
  </si>
  <si>
    <t>20488598605</t>
  </si>
  <si>
    <t>3782 427800 0927</t>
  </si>
  <si>
    <t>3782 386184 7968</t>
  </si>
  <si>
    <t>0272</t>
  </si>
  <si>
    <t>55966997640</t>
  </si>
  <si>
    <t>6062 8200 9195 3714</t>
  </si>
  <si>
    <t>6062 8200 7271 6748</t>
  </si>
  <si>
    <t>0273</t>
  </si>
  <si>
    <t>94938513897</t>
  </si>
  <si>
    <t>6505 0666 6854 3070</t>
  </si>
  <si>
    <t>0274</t>
  </si>
  <si>
    <t>35198162027</t>
  </si>
  <si>
    <t>6062 8200 3120 7923</t>
  </si>
  <si>
    <t>6062 8200 3515 9166</t>
  </si>
  <si>
    <t>0275</t>
  </si>
  <si>
    <t>71113626917</t>
  </si>
  <si>
    <t>4576 7460 1674 5339</t>
  </si>
  <si>
    <t>4576 7460 6250 3397</t>
  </si>
  <si>
    <t>0276</t>
  </si>
  <si>
    <t>86967614568</t>
  </si>
  <si>
    <t>4576 7460 8726 2080</t>
  </si>
  <si>
    <t>0277</t>
  </si>
  <si>
    <t>70028698924</t>
  </si>
  <si>
    <t>4576 7460 4677 6166</t>
  </si>
  <si>
    <t>0278</t>
  </si>
  <si>
    <t>01648104550</t>
  </si>
  <si>
    <t>4576 7460 8497 6840</t>
  </si>
  <si>
    <t>4576 7460 7974 9491</t>
  </si>
  <si>
    <t>0279</t>
  </si>
  <si>
    <t>26840915360</t>
  </si>
  <si>
    <t>4576 7460 6513 3472</t>
  </si>
  <si>
    <t>0280</t>
  </si>
  <si>
    <t>28260181401</t>
  </si>
  <si>
    <t>6505 0666 5159 2007</t>
  </si>
  <si>
    <t>6505 0666 5181 5927</t>
  </si>
  <si>
    <t>0281</t>
  </si>
  <si>
    <t>79424163800</t>
  </si>
  <si>
    <t>6505 0666 8807 1750</t>
  </si>
  <si>
    <t>0282</t>
  </si>
  <si>
    <t>64896650930</t>
  </si>
  <si>
    <t>4576 7460 8061 6781</t>
  </si>
  <si>
    <t>0283</t>
  </si>
  <si>
    <t>02840244063</t>
  </si>
  <si>
    <t>4576 7460 6093 5379</t>
  </si>
  <si>
    <t>0284</t>
  </si>
  <si>
    <t>14774436739</t>
  </si>
  <si>
    <t>6062 8200 2163 5716</t>
  </si>
  <si>
    <t>6062 8200 1993 6852</t>
  </si>
  <si>
    <t>0285</t>
  </si>
  <si>
    <t>32660006920</t>
  </si>
  <si>
    <t>3782 670027 7182</t>
  </si>
  <si>
    <t>0286</t>
  </si>
  <si>
    <t>31151984264</t>
  </si>
  <si>
    <t>6062 8200 2411 7903</t>
  </si>
  <si>
    <t>6062 8200 2775 0900</t>
  </si>
  <si>
    <t>0287</t>
  </si>
  <si>
    <t>19841659174</t>
  </si>
  <si>
    <t>5442 7460 7383 3835</t>
  </si>
  <si>
    <t>0288</t>
  </si>
  <si>
    <t>93035404763</t>
  </si>
  <si>
    <t>6505 0666 3842 0160</t>
  </si>
  <si>
    <t>6505 0666 3722 6039</t>
  </si>
  <si>
    <t>0289</t>
  </si>
  <si>
    <t>93573495370</t>
  </si>
  <si>
    <t>6505 0666 3012 1270</t>
  </si>
  <si>
    <t>6505 0666 3887 5658</t>
  </si>
  <si>
    <t>fat_min</t>
  </si>
  <si>
    <t>fat_parcial</t>
  </si>
  <si>
    <t>fat_menor_min</t>
  </si>
  <si>
    <t>Consultar faturas e pagar o valor total.</t>
  </si>
  <si>
    <t>Consultar faturas e pagar o valor mínimo.</t>
  </si>
  <si>
    <t>Consultar faturas e pagar com valor parcial</t>
  </si>
  <si>
    <t>Pagar valor Menor que o mínimo</t>
  </si>
  <si>
    <t>Pagar valor Maior que o mínimo</t>
  </si>
  <si>
    <t>16</t>
  </si>
  <si>
    <t>32</t>
  </si>
  <si>
    <t>0290</t>
  </si>
  <si>
    <t>28291888531</t>
  </si>
  <si>
    <t>Lucas Gabriel Ferreira tu</t>
  </si>
  <si>
    <t>3782 907725 6467</t>
  </si>
  <si>
    <t>0291</t>
  </si>
  <si>
    <t>44010031107</t>
  </si>
  <si>
    <t>Santiago Gomez th</t>
  </si>
  <si>
    <t>6505 0666 5766 8664</t>
  </si>
  <si>
    <t>6505 0666 4809 9426</t>
  </si>
  <si>
    <t>0292</t>
  </si>
  <si>
    <t>08554650344</t>
  </si>
  <si>
    <t>William Robert Miller tr</t>
  </si>
  <si>
    <t>6505 0666 6891 8089</t>
  </si>
  <si>
    <t>0293</t>
  </si>
  <si>
    <t>46902786445</t>
  </si>
  <si>
    <t>Joon Jeonger</t>
  </si>
  <si>
    <t>6062 8200 4179 7276</t>
  </si>
  <si>
    <t>0294</t>
  </si>
  <si>
    <t>39088866783</t>
  </si>
  <si>
    <t>Camille Martinwe</t>
  </si>
  <si>
    <t>6062 8200 7718 9134</t>
  </si>
  <si>
    <t>0295</t>
  </si>
  <si>
    <t>53743477645</t>
  </si>
  <si>
    <t>Fahad Al-Ghamdiqw</t>
  </si>
  <si>
    <t>5442 7460 8269 3670</t>
  </si>
  <si>
    <t>5442 7460 7820 5942</t>
  </si>
  <si>
    <t>0296</t>
  </si>
  <si>
    <t>58379245580</t>
  </si>
  <si>
    <t>Ren Itoqw</t>
  </si>
  <si>
    <t>6062 8200 1212 0475</t>
  </si>
  <si>
    <t>6062 8200 1934 2795</t>
  </si>
  <si>
    <t>0297</t>
  </si>
  <si>
    <t>93373358590</t>
  </si>
  <si>
    <t>Santiago Gomasez</t>
  </si>
  <si>
    <t>5442 7460 8218 6799</t>
  </si>
  <si>
    <t>0298</t>
  </si>
  <si>
    <t>98223563312</t>
  </si>
  <si>
    <t>Chloe Dubasois</t>
  </si>
  <si>
    <t>3782 228417 7414</t>
  </si>
  <si>
    <t>3782 672811 2835</t>
  </si>
  <si>
    <t>0299</t>
  </si>
  <si>
    <t>38120843410</t>
  </si>
  <si>
    <t>Lukas Schqwneider</t>
  </si>
  <si>
    <t>6505 0666 2524 1753</t>
  </si>
  <si>
    <t>6505 0666 8170 6038</t>
  </si>
  <si>
    <t>0300</t>
  </si>
  <si>
    <t>98922242647</t>
  </si>
  <si>
    <t>Chloe Duqwbois</t>
  </si>
  <si>
    <t>5442 7460 3711 6304</t>
  </si>
  <si>
    <t>admin1131</t>
  </si>
  <si>
    <t>admin1132</t>
  </si>
  <si>
    <t>admin1133</t>
  </si>
  <si>
    <t>admin1134</t>
  </si>
  <si>
    <t>admin1135</t>
  </si>
  <si>
    <t>admin1136</t>
  </si>
  <si>
    <t>admin1137</t>
  </si>
  <si>
    <t>admin1138</t>
  </si>
  <si>
    <t>admin1139</t>
  </si>
  <si>
    <t>admin1140</t>
  </si>
  <si>
    <t>admin1141</t>
  </si>
  <si>
    <t>admin1142</t>
  </si>
  <si>
    <t>admin1143</t>
  </si>
  <si>
    <t>admin1144</t>
  </si>
  <si>
    <t>admin1145</t>
  </si>
  <si>
    <t>admin1146</t>
  </si>
  <si>
    <t>admin1147</t>
  </si>
  <si>
    <t>admin1148</t>
  </si>
  <si>
    <t>admin1149</t>
  </si>
  <si>
    <t>admin1150</t>
  </si>
  <si>
    <t>admin1151</t>
  </si>
  <si>
    <t>admin1152</t>
  </si>
  <si>
    <t>admin1153</t>
  </si>
  <si>
    <t>admin1154</t>
  </si>
  <si>
    <t>admin1155</t>
  </si>
  <si>
    <t>admin1156</t>
  </si>
  <si>
    <t>admin1157</t>
  </si>
  <si>
    <t>admin1158</t>
  </si>
  <si>
    <t>admin1159</t>
  </si>
  <si>
    <t>admin1160</t>
  </si>
  <si>
    <t>admin1161</t>
  </si>
  <si>
    <t>admin1162</t>
  </si>
  <si>
    <t>admin1163</t>
  </si>
  <si>
    <t>admin1164</t>
  </si>
  <si>
    <t>admin1165</t>
  </si>
  <si>
    <t>admin1166</t>
  </si>
  <si>
    <t>admin1167</t>
  </si>
  <si>
    <t>admin1168</t>
  </si>
  <si>
    <t>admin1169</t>
  </si>
  <si>
    <t>admin1170</t>
  </si>
  <si>
    <t>admin1171</t>
  </si>
  <si>
    <t>admin1172</t>
  </si>
  <si>
    <t>admin1173</t>
  </si>
  <si>
    <t>admin1174</t>
  </si>
  <si>
    <t>admin1175</t>
  </si>
  <si>
    <t>admin1176</t>
  </si>
  <si>
    <t>admin1177</t>
  </si>
  <si>
    <t>admin1178</t>
  </si>
  <si>
    <t>admin1179</t>
  </si>
  <si>
    <t>admin1180</t>
  </si>
  <si>
    <t>admin1181</t>
  </si>
  <si>
    <t>admin1182</t>
  </si>
  <si>
    <t>admin1183</t>
  </si>
  <si>
    <t>admin1184</t>
  </si>
  <si>
    <t>admin1185</t>
  </si>
  <si>
    <t>admin1186</t>
  </si>
  <si>
    <t>admin1187</t>
  </si>
  <si>
    <t>admin1188</t>
  </si>
  <si>
    <t>admin1189</t>
  </si>
  <si>
    <t>admin1190</t>
  </si>
  <si>
    <t>admin1191</t>
  </si>
  <si>
    <t>admin1192</t>
  </si>
  <si>
    <t>admin1193</t>
  </si>
  <si>
    <t>admin1194</t>
  </si>
  <si>
    <t>admin1195</t>
  </si>
  <si>
    <t>admin1196</t>
  </si>
  <si>
    <t>admin1197</t>
  </si>
  <si>
    <t>admin1198</t>
  </si>
  <si>
    <t>admin1199</t>
  </si>
  <si>
    <t>admin1200</t>
  </si>
  <si>
    <t>admin1201</t>
  </si>
  <si>
    <t>admin1202</t>
  </si>
  <si>
    <t>admin1203</t>
  </si>
  <si>
    <t>admin1204</t>
  </si>
  <si>
    <t>admin1205</t>
  </si>
  <si>
    <t>admin1206</t>
  </si>
  <si>
    <t>admin1207</t>
  </si>
  <si>
    <t>admin1208</t>
  </si>
  <si>
    <t>admin1209</t>
  </si>
  <si>
    <t>0301</t>
  </si>
  <si>
    <t>admin1210</t>
  </si>
  <si>
    <t>0302</t>
  </si>
  <si>
    <t>admin1211</t>
  </si>
  <si>
    <t>0303</t>
  </si>
  <si>
    <t>admin1212</t>
  </si>
  <si>
    <t>0304</t>
  </si>
  <si>
    <t>admin1213</t>
  </si>
  <si>
    <t>0305</t>
  </si>
  <si>
    <t>admin1214</t>
  </si>
  <si>
    <t>0306</t>
  </si>
  <si>
    <t>admin1215</t>
  </si>
  <si>
    <t>0307</t>
  </si>
  <si>
    <t>admin1216</t>
  </si>
  <si>
    <t>0308</t>
  </si>
  <si>
    <t>admin1217</t>
  </si>
  <si>
    <t>70272563633</t>
  </si>
  <si>
    <t>Jiwoo Paruik</t>
  </si>
  <si>
    <t>3782 325188 2065</t>
  </si>
  <si>
    <t>3782 686040 7451</t>
  </si>
  <si>
    <t>60083980768</t>
  </si>
  <si>
    <t>Kuihalid Al-Zahrani</t>
  </si>
  <si>
    <t>4576 7460 6654 3213</t>
  </si>
  <si>
    <t>17867091041</t>
  </si>
  <si>
    <t>Kenji Suiato</t>
  </si>
  <si>
    <t>6505 0666 3050 6750</t>
  </si>
  <si>
    <t>35711606492</t>
  </si>
  <si>
    <t>William Robert Muiller</t>
  </si>
  <si>
    <t>3782 969505 8372</t>
  </si>
  <si>
    <t>29033722682</t>
  </si>
  <si>
    <t>Mauximilian Mueller</t>
  </si>
  <si>
    <t>3782 369765 8397</t>
  </si>
  <si>
    <t>3782 725972 4287</t>
  </si>
  <si>
    <t>13586297653</t>
  </si>
  <si>
    <t>Mauriana Costa Silva</t>
  </si>
  <si>
    <t>6505 0666 8495 1540</t>
  </si>
  <si>
    <t>99872369100</t>
  </si>
  <si>
    <t>Gabriel Vinicius Souuza</t>
  </si>
  <si>
    <t>4576 7460 5475 9569</t>
  </si>
  <si>
    <t>30493526048</t>
  </si>
  <si>
    <t>Ines Oliuveira</t>
  </si>
  <si>
    <t>6505 0666 1412 1323</t>
  </si>
  <si>
    <t>0309</t>
  </si>
  <si>
    <t>65432546450</t>
  </si>
  <si>
    <t>6505 0666 6345 1555</t>
  </si>
  <si>
    <t>0310</t>
  </si>
  <si>
    <t>87652216052</t>
  </si>
  <si>
    <t>Hanako Watanfgabe</t>
  </si>
  <si>
    <t>5442 7460 6670 4196</t>
  </si>
  <si>
    <t>0311</t>
  </si>
  <si>
    <t>98463748520</t>
  </si>
  <si>
    <t>Seosdyun Lee</t>
  </si>
  <si>
    <t>5442 7460 3899 2839</t>
  </si>
  <si>
    <t>0312</t>
  </si>
  <si>
    <t>56731289671</t>
  </si>
  <si>
    <t>Fatima Al-Hardfbi</t>
  </si>
  <si>
    <t>3782 292950 9209</t>
  </si>
  <si>
    <t>0313</t>
  </si>
  <si>
    <t>49864548972</t>
  </si>
  <si>
    <t>Joon wJeong</t>
  </si>
  <si>
    <t>6062 8200 5997 3900</t>
  </si>
  <si>
    <t>0314</t>
  </si>
  <si>
    <t>01802088458</t>
  </si>
  <si>
    <t>Mariweana Costa Silva</t>
  </si>
  <si>
    <t>6505 0666 9725 4191</t>
  </si>
  <si>
    <t>0315</t>
  </si>
  <si>
    <t>92628846721</t>
  </si>
  <si>
    <t>Jiwean Liu</t>
  </si>
  <si>
    <t>4576 7460 3044 4774</t>
  </si>
  <si>
    <t>4576 7460 2984 7255</t>
  </si>
  <si>
    <t>status_fatura_fechada</t>
  </si>
  <si>
    <t>PAGA</t>
  </si>
  <si>
    <t>ABERTA</t>
  </si>
  <si>
    <t>91</t>
  </si>
  <si>
    <t>96</t>
  </si>
  <si>
    <t>39</t>
  </si>
  <si>
    <t>INEXISTENTE</t>
  </si>
  <si>
    <t>70</t>
  </si>
  <si>
    <t>0316</t>
  </si>
  <si>
    <t>22963721471</t>
  </si>
  <si>
    <t>Joaquin Gosnzalez</t>
  </si>
  <si>
    <t>4576 7460 5402 4735</t>
  </si>
  <si>
    <t>0317</t>
  </si>
  <si>
    <t>31503792706</t>
  </si>
  <si>
    <t>Pierre Bernsard</t>
  </si>
  <si>
    <t>6062 8200 5484 4239</t>
  </si>
  <si>
    <t>0318</t>
  </si>
  <si>
    <t>59804342243</t>
  </si>
  <si>
    <t>Luksas Schneider</t>
  </si>
  <si>
    <t>5442 7460 7409 7167</t>
  </si>
  <si>
    <t>0319</t>
  </si>
  <si>
    <t>36573595750</t>
  </si>
  <si>
    <t>Mateo Fernandsez</t>
  </si>
  <si>
    <t>6062 8200 2541 9516</t>
  </si>
  <si>
    <t>6062 8200 6562 0304</t>
  </si>
  <si>
    <t>status_fat_fechada</t>
  </si>
  <si>
    <t>fat_maior_min</t>
  </si>
  <si>
    <t>0320</t>
  </si>
  <si>
    <t>22177886040</t>
  </si>
  <si>
    <t>Fatimad Al-Harbi</t>
  </si>
  <si>
    <t>6505 0666 7970 6562</t>
  </si>
  <si>
    <t>6505 0666 4916 1789</t>
  </si>
  <si>
    <t>0321</t>
  </si>
  <si>
    <t>44328330500</t>
  </si>
  <si>
    <t>4576 7460 1972 4243</t>
  </si>
  <si>
    <t>0322</t>
  </si>
  <si>
    <t>72912610400</t>
  </si>
  <si>
    <t>Noura Al-Saqud</t>
  </si>
  <si>
    <t>6505 0666 4658 2099</t>
  </si>
  <si>
    <t>0323</t>
  </si>
  <si>
    <t>26631698030</t>
  </si>
  <si>
    <t>4576 7460 2348 5423</t>
  </si>
  <si>
    <t>22</t>
  </si>
  <si>
    <t>27</t>
  </si>
  <si>
    <t>63</t>
  </si>
  <si>
    <t>59</t>
  </si>
  <si>
    <t>6</t>
  </si>
  <si>
    <t>1</t>
  </si>
  <si>
    <t>33</t>
  </si>
  <si>
    <t>19</t>
  </si>
  <si>
    <t>17</t>
  </si>
  <si>
    <t>0324</t>
  </si>
  <si>
    <t>07577665606</t>
  </si>
  <si>
    <t>3782 376849 6576</t>
  </si>
  <si>
    <t>0325</t>
  </si>
  <si>
    <t>43040626973</t>
  </si>
  <si>
    <t>5442 7460 7348 4478</t>
  </si>
  <si>
    <t>0326</t>
  </si>
  <si>
    <t>15336627119</t>
  </si>
  <si>
    <t>6505 0666 5196 0395</t>
  </si>
  <si>
    <t>0327</t>
  </si>
  <si>
    <t>51028811675</t>
  </si>
  <si>
    <t>5442 7460 6189 6511</t>
  </si>
  <si>
    <t>5442 7460 8370 1703</t>
  </si>
  <si>
    <t>0328</t>
  </si>
  <si>
    <t>08858964322</t>
  </si>
  <si>
    <t>4576 7460 5925 3334</t>
  </si>
  <si>
    <t>4576 7460 8074 1115</t>
  </si>
  <si>
    <t>0329</t>
  </si>
  <si>
    <t>80381157911</t>
  </si>
  <si>
    <t>6505 0666 9356 4971</t>
  </si>
  <si>
    <t>0330</t>
  </si>
  <si>
    <t>70268117896</t>
  </si>
  <si>
    <t>6062 8200 3807 8982</t>
  </si>
  <si>
    <t>0331</t>
  </si>
  <si>
    <t>90939424258</t>
  </si>
  <si>
    <t>6062 8200 8936 3131</t>
  </si>
  <si>
    <t>0332</t>
  </si>
  <si>
    <t>22642638146</t>
  </si>
  <si>
    <t>3782 151017 6000</t>
  </si>
  <si>
    <t>0333</t>
  </si>
  <si>
    <t>10725586109</t>
  </si>
  <si>
    <t>6505 0666 3989 9309</t>
  </si>
  <si>
    <t>6505 0666 5201 5174</t>
  </si>
  <si>
    <t>0334</t>
  </si>
  <si>
    <t>85335833890</t>
  </si>
  <si>
    <t>Marcos Fernandes Almeida</t>
  </si>
  <si>
    <t>4576 7460 5358 2156</t>
  </si>
  <si>
    <t>4576 7460 3283 1044</t>
  </si>
  <si>
    <t>0335</t>
  </si>
  <si>
    <t>36920426129</t>
  </si>
  <si>
    <t>Camila Lima</t>
  </si>
  <si>
    <t>6505 0666 4863 3280</t>
  </si>
  <si>
    <t>6505 0666 1445 1092</t>
  </si>
  <si>
    <t>0336</t>
  </si>
  <si>
    <t>84144150321</t>
  </si>
  <si>
    <t>Renata Borges Monteiro</t>
  </si>
  <si>
    <t>6505 0666 1756 9525</t>
  </si>
  <si>
    <t>6505 0666 6398 9662</t>
  </si>
  <si>
    <t>0337</t>
  </si>
  <si>
    <t>92166446213</t>
  </si>
  <si>
    <t>Matheus Souza</t>
  </si>
  <si>
    <t>6062 8200 2805 8216</t>
  </si>
  <si>
    <t>0338</t>
  </si>
  <si>
    <t>25699189033</t>
  </si>
  <si>
    <t>Camila Rodrigues Pereira</t>
  </si>
  <si>
    <t>6505 0666 8151 9921</t>
  </si>
  <si>
    <t>0339</t>
  </si>
  <si>
    <t>68117721236</t>
  </si>
  <si>
    <t>Gustavo Rocha Alves</t>
  </si>
  <si>
    <t>6062 8200 7501 3413</t>
  </si>
  <si>
    <t>6062 8200 9861 8036</t>
  </si>
  <si>
    <t>0340</t>
  </si>
  <si>
    <t>94670265202</t>
  </si>
  <si>
    <t>Caio Souza</t>
  </si>
  <si>
    <t>3782 177456 9851</t>
  </si>
  <si>
    <t>0341</t>
  </si>
  <si>
    <t>62704860505</t>
  </si>
  <si>
    <t>Leandro Lima Rocha</t>
  </si>
  <si>
    <t>6505 0666 9375 0283</t>
  </si>
  <si>
    <t>0342</t>
  </si>
  <si>
    <t>96466674738</t>
  </si>
  <si>
    <t>Vinicius Cardoso Barros</t>
  </si>
  <si>
    <t>3782 589564 5313</t>
  </si>
  <si>
    <t>0343</t>
  </si>
  <si>
    <t>11883258502</t>
  </si>
  <si>
    <t>Patricia Pinto</t>
  </si>
  <si>
    <t>3782 968891 0697</t>
  </si>
  <si>
    <t>0344</t>
  </si>
  <si>
    <t>70776504800</t>
  </si>
  <si>
    <t>Renato Araujo Rocha</t>
  </si>
  <si>
    <t>3782 571233 8136</t>
  </si>
  <si>
    <t>0345</t>
  </si>
  <si>
    <t>99583585572</t>
  </si>
  <si>
    <t>Vanessa Fernandes Alves</t>
  </si>
  <si>
    <t>6062 8200 6007 6137</t>
  </si>
  <si>
    <t>0346</t>
  </si>
  <si>
    <t>47542151843</t>
  </si>
  <si>
    <t>Guilherme Rodrigues Costa</t>
  </si>
  <si>
    <t>6505 0666 3466 0469</t>
  </si>
  <si>
    <t>0347</t>
  </si>
  <si>
    <t>40974315524</t>
  </si>
  <si>
    <t>Sabrina Nunes Cardoso</t>
  </si>
  <si>
    <t>5442 7460 7064 0275</t>
  </si>
  <si>
    <t>0348</t>
  </si>
  <si>
    <t>23025052805</t>
  </si>
  <si>
    <t>Mariana Fernandes Barros</t>
  </si>
  <si>
    <t>3782 590598 6267</t>
  </si>
  <si>
    <t>3782 534471 9647</t>
  </si>
  <si>
    <t>0349</t>
  </si>
  <si>
    <t>31500414301</t>
  </si>
  <si>
    <t>Debora Vieira</t>
  </si>
  <si>
    <t>6062 8200 9285 9710</t>
  </si>
  <si>
    <t>6062 8200 5392 9742</t>
  </si>
  <si>
    <t>0350</t>
  </si>
  <si>
    <t>43726884580</t>
  </si>
  <si>
    <t>Carolina Pereira Dias</t>
  </si>
  <si>
    <t>3782 437306 5283</t>
  </si>
  <si>
    <t>0351</t>
  </si>
  <si>
    <t>48769755078</t>
  </si>
  <si>
    <t>Marcelo Cavalcanti Castro</t>
  </si>
  <si>
    <t>3782 223713 8226</t>
  </si>
  <si>
    <t>3782 158410 6115</t>
  </si>
  <si>
    <t>0352</t>
  </si>
  <si>
    <t>22562791622</t>
  </si>
  <si>
    <t>Diego Vieira</t>
  </si>
  <si>
    <t>6505 0666 8470 1715</t>
  </si>
  <si>
    <t>0353</t>
  </si>
  <si>
    <t>68821327558</t>
  </si>
  <si>
    <t>Felipe Monteiro</t>
  </si>
  <si>
    <t>5442 7460 8046 6530</t>
  </si>
  <si>
    <t>5442 7460 3256 5842</t>
  </si>
  <si>
    <t>0354</t>
  </si>
  <si>
    <t>26685805366</t>
  </si>
  <si>
    <t>Carolina Fernandes Oliveira</t>
  </si>
  <si>
    <t>4576 7460 9268 7203</t>
  </si>
  <si>
    <t>0355</t>
  </si>
  <si>
    <t>24582991807</t>
  </si>
  <si>
    <t>Aline Moreira Santos</t>
  </si>
  <si>
    <t>6062 8200 9363 1180</t>
  </si>
  <si>
    <t>6062 8200 2398 9909</t>
  </si>
  <si>
    <t>0356</t>
  </si>
  <si>
    <t>67248806293</t>
  </si>
  <si>
    <t>Eduardo Nascimento Teixeira</t>
  </si>
  <si>
    <t>3782 957615 9859</t>
  </si>
  <si>
    <t>0357</t>
  </si>
  <si>
    <t>81845701399</t>
  </si>
  <si>
    <t>Vivian Nunes Carvalho</t>
  </si>
  <si>
    <t>3782 471775 3748</t>
  </si>
  <si>
    <t>0358</t>
  </si>
  <si>
    <t>10920133347</t>
  </si>
  <si>
    <t>Bianca Araujo</t>
  </si>
  <si>
    <t>6062 8200 4692 9847</t>
  </si>
  <si>
    <t>6062 8200 1428 5290</t>
  </si>
  <si>
    <t>0359</t>
  </si>
  <si>
    <t>80917197011</t>
  </si>
  <si>
    <t>Andre Nascimento</t>
  </si>
  <si>
    <t>6505 0666 3995 5356</t>
  </si>
  <si>
    <t>6505 0666 1775 3964</t>
  </si>
  <si>
    <t>0360</t>
  </si>
  <si>
    <t>71040451128</t>
  </si>
  <si>
    <t>Matheus Pereira Monteiro</t>
  </si>
  <si>
    <t>6062 8200 1917 8530</t>
  </si>
  <si>
    <t>6062 8200 5793 5396</t>
  </si>
  <si>
    <t>0361</t>
  </si>
  <si>
    <t>56807084420</t>
  </si>
  <si>
    <t>Leonardo Pinto Souza</t>
  </si>
  <si>
    <t>6062 8200 2945 2542</t>
  </si>
  <si>
    <t>0362</t>
  </si>
  <si>
    <t>08839971181</t>
  </si>
  <si>
    <t>Rafael Vieira Martins</t>
  </si>
  <si>
    <t>5442 7460 2884 7863</t>
  </si>
  <si>
    <t>0363</t>
  </si>
  <si>
    <t>31423586093</t>
  </si>
  <si>
    <t>Alexandre Borges Oliveira</t>
  </si>
  <si>
    <t>6505 0666 3160 0217</t>
  </si>
  <si>
    <t>6505 0666 5229 7927</t>
  </si>
  <si>
    <t>0364</t>
  </si>
  <si>
    <t>26857146187</t>
  </si>
  <si>
    <t>Renato Almeida Araujo</t>
  </si>
  <si>
    <t>4576 7460 5052 9092</t>
  </si>
  <si>
    <t>0365</t>
  </si>
  <si>
    <t>07726989610</t>
  </si>
  <si>
    <t>Isabela Cavalcanti Barros</t>
  </si>
  <si>
    <t>4576 7460 1593 7689</t>
  </si>
  <si>
    <t>4576 7460 1944 9660</t>
  </si>
  <si>
    <t>0366</t>
  </si>
  <si>
    <t>48451571956</t>
  </si>
  <si>
    <t>Renato Dias Araujo</t>
  </si>
  <si>
    <t>6505 0666 7244 4578</t>
  </si>
  <si>
    <t>0367</t>
  </si>
  <si>
    <t>97654945485</t>
  </si>
  <si>
    <t>Leticia Lima Araujo</t>
  </si>
  <si>
    <t>6505 0666 5914 3381</t>
  </si>
  <si>
    <t>0368</t>
  </si>
  <si>
    <t>08584034986</t>
  </si>
  <si>
    <t>Vanessa Costa Martins</t>
  </si>
  <si>
    <t>4576 7460 6637 2152</t>
  </si>
  <si>
    <t>0369</t>
  </si>
  <si>
    <t>28729302056</t>
  </si>
  <si>
    <t>Renato Ribeiro Vieira</t>
  </si>
  <si>
    <t>4576 7460 5676 9279</t>
  </si>
  <si>
    <t>0370</t>
  </si>
  <si>
    <t>34502353035</t>
  </si>
  <si>
    <t>Vivian Araujo</t>
  </si>
  <si>
    <t>6505 0666 3556 0764</t>
  </si>
  <si>
    <t>0371</t>
  </si>
  <si>
    <t>72231855704</t>
  </si>
  <si>
    <t>Marcos Mendes</t>
  </si>
  <si>
    <t>6062 8200 7872 1409</t>
  </si>
  <si>
    <t>0372</t>
  </si>
  <si>
    <t>53997169411</t>
  </si>
  <si>
    <t>Leticia Moreira Almeida</t>
  </si>
  <si>
    <t>5442 7460 7277 5468</t>
  </si>
  <si>
    <t>0373</t>
  </si>
  <si>
    <t>97868029501</t>
  </si>
  <si>
    <t>Gabriel Mendes</t>
  </si>
  <si>
    <t>6062 8200 2039 0895</t>
  </si>
  <si>
    <t>0374</t>
  </si>
  <si>
    <t>42482493595</t>
  </si>
  <si>
    <t>Camila Cavalcanti</t>
  </si>
  <si>
    <t>4576 7460 1090 4415</t>
  </si>
  <si>
    <t>0375</t>
  </si>
  <si>
    <t>57017653343</t>
  </si>
  <si>
    <t>Vivian Nascimento Cavalcanti</t>
  </si>
  <si>
    <t>6062 8200 1346 9542</t>
  </si>
  <si>
    <t>0376</t>
  </si>
  <si>
    <t>48212890910</t>
  </si>
  <si>
    <t>Larissa Araujo Mendes</t>
  </si>
  <si>
    <t>3782 982498 4463</t>
  </si>
  <si>
    <t>3782 338561 2567</t>
  </si>
  <si>
    <t>0377</t>
  </si>
  <si>
    <t>87865862466</t>
  </si>
  <si>
    <t>Rodrigo Gomes</t>
  </si>
  <si>
    <t>6505 0666 1119 3125</t>
  </si>
  <si>
    <t>0378</t>
  </si>
  <si>
    <t>83483323325</t>
  </si>
  <si>
    <t>Jessica Fernandes</t>
  </si>
  <si>
    <t>6505 0666 1700 2412</t>
  </si>
  <si>
    <t>0379</t>
  </si>
  <si>
    <t>90403351766</t>
  </si>
  <si>
    <t>Camila Barros Campos</t>
  </si>
  <si>
    <t>6505 0666 1393 1257</t>
  </si>
  <si>
    <t>0380</t>
  </si>
  <si>
    <t>78850992700</t>
  </si>
  <si>
    <t>Renata Cardoso Moreira</t>
  </si>
  <si>
    <t>5442 7460 3279 3706</t>
  </si>
  <si>
    <t>0381</t>
  </si>
  <si>
    <t>45511521531</t>
  </si>
  <si>
    <t>Alexandre Araujo</t>
  </si>
  <si>
    <t>4576 7460 1372 3879</t>
  </si>
  <si>
    <t>4576 7460 6742 7885</t>
  </si>
  <si>
    <t>0382</t>
  </si>
  <si>
    <t>87159430204</t>
  </si>
  <si>
    <t>Beatriz Barbosa</t>
  </si>
  <si>
    <t>5442 7460 1743 8102</t>
  </si>
  <si>
    <t>0383</t>
  </si>
  <si>
    <t>51123841586</t>
  </si>
  <si>
    <t>Andre Oliveira</t>
  </si>
  <si>
    <t>4576 7460 8745 2289</t>
  </si>
  <si>
    <t>0384</t>
  </si>
  <si>
    <t>20840762003</t>
  </si>
  <si>
    <t>Juliana Almeida Moura</t>
  </si>
  <si>
    <t>6505 0666 3139 3312</t>
  </si>
  <si>
    <t>0385</t>
  </si>
  <si>
    <t>45007607096</t>
  </si>
  <si>
    <t>Fabio Barros Nascimento</t>
  </si>
  <si>
    <t>6062 8200 7024 3591</t>
  </si>
  <si>
    <t>0386</t>
  </si>
  <si>
    <t>92391997485</t>
  </si>
  <si>
    <t>Tatiane Freitas Barbosa</t>
  </si>
  <si>
    <t>6062 8200 4915 5573</t>
  </si>
  <si>
    <t>0387</t>
  </si>
  <si>
    <t>57621538350</t>
  </si>
  <si>
    <t>Bianca Vieira</t>
  </si>
  <si>
    <t>4576 7460 4384 2431</t>
  </si>
  <si>
    <t>4576 7460 1420 3621</t>
  </si>
  <si>
    <t>0388</t>
  </si>
  <si>
    <t>61524727920</t>
  </si>
  <si>
    <t>Vinicius Oliveira Souza</t>
  </si>
  <si>
    <t>5442 7460 3776 2942</t>
  </si>
  <si>
    <t>0389</t>
  </si>
  <si>
    <t>24187681558</t>
  </si>
  <si>
    <t>Eduardo Campos Pinto</t>
  </si>
  <si>
    <t>5442 7460 1996 3805</t>
  </si>
  <si>
    <t>5442 7460 2995 2769</t>
  </si>
  <si>
    <t>0390</t>
  </si>
  <si>
    <t>26779115231</t>
  </si>
  <si>
    <t>Juliana Freitas Borges</t>
  </si>
  <si>
    <t>6062 8200 7259 2950</t>
  </si>
  <si>
    <t>6062 8200 9744 9205</t>
  </si>
  <si>
    <t>0391</t>
  </si>
  <si>
    <t>30898966566</t>
  </si>
  <si>
    <t>Jessica Moreira</t>
  </si>
  <si>
    <t>6062 8200 3314 5018</t>
  </si>
  <si>
    <t>0392</t>
  </si>
  <si>
    <t>13576138498</t>
  </si>
  <si>
    <t>Vinicius Gomes</t>
  </si>
  <si>
    <t>6062 8200 6531 1766</t>
  </si>
  <si>
    <t>0393</t>
  </si>
  <si>
    <t>96075975594</t>
  </si>
  <si>
    <t>Tatiane Dias Nascimento</t>
  </si>
  <si>
    <t>4576 7460 6754 3163</t>
  </si>
  <si>
    <t>4576 7460 3106 8780</t>
  </si>
  <si>
    <t>0394</t>
  </si>
  <si>
    <t>37394538508</t>
  </si>
  <si>
    <t>Andre Moreira</t>
  </si>
  <si>
    <t>3782 878556 8560</t>
  </si>
  <si>
    <t>3782 627012 6990</t>
  </si>
  <si>
    <t>0395</t>
  </si>
  <si>
    <t>10323669743</t>
  </si>
  <si>
    <t>Gustavo Castro</t>
  </si>
  <si>
    <t>3782 937433 9965</t>
  </si>
  <si>
    <t>0396</t>
  </si>
  <si>
    <t>74919619405</t>
  </si>
  <si>
    <t>Tatiane Almeida Oliveira</t>
  </si>
  <si>
    <t>3782 832270 8166</t>
  </si>
  <si>
    <t>3782 357042 3244</t>
  </si>
  <si>
    <t>0397</t>
  </si>
  <si>
    <t>53697575856</t>
  </si>
  <si>
    <t>Aline Moreira</t>
  </si>
  <si>
    <t>4576 7460 4677 2400</t>
  </si>
  <si>
    <t>0398</t>
  </si>
  <si>
    <t>26683587442</t>
  </si>
  <si>
    <t>Gustavo Souza</t>
  </si>
  <si>
    <t>6062 8200 7528 3187</t>
  </si>
  <si>
    <t>6062 8200 3982 5565</t>
  </si>
  <si>
    <t>0399</t>
  </si>
  <si>
    <t>26247111398</t>
  </si>
  <si>
    <t>Danilo Souza</t>
  </si>
  <si>
    <t>6505 0666 1156 8767</t>
  </si>
  <si>
    <t>6505 0666 2841 0231</t>
  </si>
  <si>
    <t>0400</t>
  </si>
  <si>
    <t>91949140440</t>
  </si>
  <si>
    <t>Danilo Moreira</t>
  </si>
  <si>
    <t>4576 7460 9004 4824</t>
  </si>
  <si>
    <t>0401</t>
  </si>
  <si>
    <t>38750991256</t>
  </si>
  <si>
    <t>Vinicius Moura Mendes</t>
  </si>
  <si>
    <t>4576 7460 5464 9020</t>
  </si>
  <si>
    <t>4576 7460 9821 1811</t>
  </si>
  <si>
    <t>0402</t>
  </si>
  <si>
    <t>64233573902</t>
  </si>
  <si>
    <t>Larissa Rocha</t>
  </si>
  <si>
    <t>6505 0666 8086 8390</t>
  </si>
  <si>
    <t>6505 0666 6981 6646</t>
  </si>
  <si>
    <t>0403</t>
  </si>
  <si>
    <t>76221106630</t>
  </si>
  <si>
    <t>Danilo Pereira Teixeira</t>
  </si>
  <si>
    <t>3782 264501 5082</t>
  </si>
  <si>
    <t>0404</t>
  </si>
  <si>
    <t>35915509304</t>
  </si>
  <si>
    <t>Caio Souza Fernandes</t>
  </si>
  <si>
    <t>4576 7460 4024 8632</t>
  </si>
  <si>
    <t>0405</t>
  </si>
  <si>
    <t>03671429887</t>
  </si>
  <si>
    <t>Thiago Cavalcanti</t>
  </si>
  <si>
    <t>5442 7460 3507 4277</t>
  </si>
  <si>
    <t>5442 7460 8481 3411</t>
  </si>
  <si>
    <t>0406</t>
  </si>
  <si>
    <t>17699645766</t>
  </si>
  <si>
    <t>4576 7460 4938 4943</t>
  </si>
  <si>
    <t>0407</t>
  </si>
  <si>
    <t>80299088499</t>
  </si>
  <si>
    <t>Matheus Barbosa</t>
  </si>
  <si>
    <t>5442 7460 8532 5960</t>
  </si>
  <si>
    <t>0408</t>
  </si>
  <si>
    <t>79194238308</t>
  </si>
  <si>
    <t>Danilo Fernandes Moura</t>
  </si>
  <si>
    <t>5442 7460 4245 5106</t>
  </si>
  <si>
    <t>0409</t>
  </si>
  <si>
    <t>73721018672</t>
  </si>
  <si>
    <t>Priscila Teixeira</t>
  </si>
  <si>
    <t>6062 8200 8608 2201</t>
  </si>
  <si>
    <t>6062 8200 6556 5696</t>
  </si>
  <si>
    <t>0410</t>
  </si>
  <si>
    <t>16922084039</t>
  </si>
  <si>
    <t>Thiago Lima Cardoso</t>
  </si>
  <si>
    <t>5442 7460 8518 9316</t>
  </si>
  <si>
    <t>0411</t>
  </si>
  <si>
    <t>34794102194</t>
  </si>
  <si>
    <t>Carolina Campos Fernandes</t>
  </si>
  <si>
    <t>5442 7460 1599 3634</t>
  </si>
  <si>
    <t>5442 7460 3774 4487</t>
  </si>
  <si>
    <t>0412</t>
  </si>
  <si>
    <t>83985114277</t>
  </si>
  <si>
    <t>Leonardo Monteiro Fernandes</t>
  </si>
  <si>
    <t>6505 0666 8253 6569</t>
  </si>
  <si>
    <t>0413</t>
  </si>
  <si>
    <t>71935647903</t>
  </si>
  <si>
    <t>Carolina Fernandes</t>
  </si>
  <si>
    <t>4576 7460 6570 5448</t>
  </si>
  <si>
    <t>0414</t>
  </si>
  <si>
    <t>05151697579</t>
  </si>
  <si>
    <t>Fabio Ribeiro Oliveira</t>
  </si>
  <si>
    <t>4576 7460 8279 6594</t>
  </si>
  <si>
    <t>4576 7460 5774 8445</t>
  </si>
  <si>
    <t>0415</t>
  </si>
  <si>
    <t>18578794494</t>
  </si>
  <si>
    <t>Juliana Silva Moreira</t>
  </si>
  <si>
    <t>6062 8200 6666 9231</t>
  </si>
  <si>
    <t>6062 8200 1082 4125</t>
  </si>
  <si>
    <t>0416</t>
  </si>
  <si>
    <t>26002929932</t>
  </si>
  <si>
    <t>Isabela Araujo Monteiro</t>
  </si>
  <si>
    <t>6062 8200 3579 1632</t>
  </si>
  <si>
    <t>0417</t>
  </si>
  <si>
    <t>49914715834</t>
  </si>
  <si>
    <t>Renata Almeida</t>
  </si>
  <si>
    <t>3782 324281 6364</t>
  </si>
  <si>
    <t>0418</t>
  </si>
  <si>
    <t>50563169702</t>
  </si>
  <si>
    <t>Alexandre Ribeiro</t>
  </si>
  <si>
    <t>4576 7460 4849 8544</t>
  </si>
  <si>
    <t>0419</t>
  </si>
  <si>
    <t>31478516992</t>
  </si>
  <si>
    <t>Juliana Cardoso Teixeira</t>
  </si>
  <si>
    <t>6062 8200 4594 8380</t>
  </si>
  <si>
    <t>0420</t>
  </si>
  <si>
    <t>81020274522</t>
  </si>
  <si>
    <t>Rafael Ribeiro</t>
  </si>
  <si>
    <t>6505 0666 4124 3427</t>
  </si>
  <si>
    <t>6505 0666 3053 2395</t>
  </si>
  <si>
    <t>0421</t>
  </si>
  <si>
    <t>43512032850</t>
  </si>
  <si>
    <t>Vanessa Carvalho</t>
  </si>
  <si>
    <t>6062 8200 3349 5316</t>
  </si>
  <si>
    <t>0422</t>
  </si>
  <si>
    <t>60506090710</t>
  </si>
  <si>
    <t>Marcelo Santos</t>
  </si>
  <si>
    <t>5442 7460 1585 8645</t>
  </si>
  <si>
    <t>0423</t>
  </si>
  <si>
    <t>75099245889</t>
  </si>
  <si>
    <t>Rodrigo Monteiro Araujo</t>
  </si>
  <si>
    <t>3782 305854 4896</t>
  </si>
  <si>
    <t>3782 938361 3414</t>
  </si>
  <si>
    <t>0424</t>
  </si>
  <si>
    <t>38416151040</t>
  </si>
  <si>
    <t>Felipe Ribeiro Nascimento</t>
  </si>
  <si>
    <t>3782 791681 4118</t>
  </si>
  <si>
    <t>0425</t>
  </si>
  <si>
    <t>15249727387</t>
  </si>
  <si>
    <t>Isabela Gomes Nascimento</t>
  </si>
  <si>
    <t>3782 162332 7730</t>
  </si>
  <si>
    <t>0426</t>
  </si>
  <si>
    <t>50609919628</t>
  </si>
  <si>
    <t>Leticia Silva Nunes</t>
  </si>
  <si>
    <t>3782 563556 7332</t>
  </si>
  <si>
    <t>0427</t>
  </si>
  <si>
    <t>38468911933</t>
  </si>
  <si>
    <t>Felipe Ribeiro</t>
  </si>
  <si>
    <t>5442 7460 2379 9239</t>
  </si>
  <si>
    <t>0428</t>
  </si>
  <si>
    <t>18304755920</t>
  </si>
  <si>
    <t>Rafael Alves</t>
  </si>
  <si>
    <t>5442 7460 4733 1293</t>
  </si>
  <si>
    <t>0429</t>
  </si>
  <si>
    <t>82892350115</t>
  </si>
  <si>
    <t>Bruno Barbosa Santos</t>
  </si>
  <si>
    <t>3782 211452 6942</t>
  </si>
  <si>
    <t>0430</t>
  </si>
  <si>
    <t>81305297342</t>
  </si>
  <si>
    <t>Vanessa Rodrigues Barros</t>
  </si>
  <si>
    <t>4576 7460 6805 0257</t>
  </si>
  <si>
    <t>4576 7460 5732 6820</t>
  </si>
  <si>
    <t>0431</t>
  </si>
  <si>
    <t>28671001270</t>
  </si>
  <si>
    <t>Gustavo Almeida</t>
  </si>
  <si>
    <t>6062 8200 2472 2881</t>
  </si>
  <si>
    <t>0432</t>
  </si>
  <si>
    <t>07643113874</t>
  </si>
  <si>
    <t>Amanda Costa Almeida</t>
  </si>
  <si>
    <t>6062 8200 2321 2726</t>
  </si>
  <si>
    <t>0433</t>
  </si>
  <si>
    <t>19849103701</t>
  </si>
  <si>
    <t>Rafael Cavalcanti</t>
  </si>
  <si>
    <t>6062 8200 2799 8781</t>
  </si>
  <si>
    <t>6062 8200 1271 7244</t>
  </si>
  <si>
    <t>0434</t>
  </si>
  <si>
    <t>40854108815</t>
  </si>
  <si>
    <t>Marcelo Rodrigues Dias</t>
  </si>
  <si>
    <t>3782 484622 3064</t>
  </si>
  <si>
    <t>0435</t>
  </si>
  <si>
    <t>24308231280</t>
  </si>
  <si>
    <t>Bianca Cavalcanti</t>
  </si>
  <si>
    <t>6062 8200 3824 5020</t>
  </si>
  <si>
    <t>6062 8200 3458 6037</t>
  </si>
  <si>
    <t>0436</t>
  </si>
  <si>
    <t>58770360090</t>
  </si>
  <si>
    <t>Larissa Gomes Alves</t>
  </si>
  <si>
    <t>3782 146272 8012</t>
  </si>
  <si>
    <t>0437</t>
  </si>
  <si>
    <t>74660588173</t>
  </si>
  <si>
    <t>Sabrina Borges</t>
  </si>
  <si>
    <t>6062 8200 5084 1597</t>
  </si>
  <si>
    <t>0438</t>
  </si>
  <si>
    <t>90228231647</t>
  </si>
  <si>
    <t>Lucas Almeida</t>
  </si>
  <si>
    <t>6062 8200 5744 1107</t>
  </si>
  <si>
    <t>0439</t>
  </si>
  <si>
    <t>90408052880</t>
  </si>
  <si>
    <t>Leonardo Costa Nunes</t>
  </si>
  <si>
    <t>3782 418899 8222</t>
  </si>
  <si>
    <t>0440</t>
  </si>
  <si>
    <t>43944529537</t>
  </si>
  <si>
    <t>Leandro Nunes Monteiro</t>
  </si>
  <si>
    <t>3782 895160 5466</t>
  </si>
  <si>
    <t>0441</t>
  </si>
  <si>
    <t>71391426100</t>
  </si>
  <si>
    <t>Camila Vieira Nunes</t>
  </si>
  <si>
    <t>6062 8200 1082 7496</t>
  </si>
  <si>
    <t>0442</t>
  </si>
  <si>
    <t>77639901804</t>
  </si>
  <si>
    <t>Andre Freitas Campos</t>
  </si>
  <si>
    <t>6062 8200 9669 6042</t>
  </si>
  <si>
    <t>0443</t>
  </si>
  <si>
    <t>56016184292</t>
  </si>
  <si>
    <t>Bruno Moura</t>
  </si>
  <si>
    <t>3782 197520 0191</t>
  </si>
  <si>
    <t>3782 186069 4014</t>
  </si>
  <si>
    <t>0444</t>
  </si>
  <si>
    <t>60495510734</t>
  </si>
  <si>
    <t>Renata Ribeiro Teixeira</t>
  </si>
  <si>
    <t>5442 7460 2284 4761</t>
  </si>
  <si>
    <t>5442 7460 6631 6303</t>
  </si>
  <si>
    <t>0445</t>
  </si>
  <si>
    <t>13085810250</t>
  </si>
  <si>
    <t>Beatriz Barbosa Lima</t>
  </si>
  <si>
    <t>6505 0666 3647 8233</t>
  </si>
  <si>
    <t>6505 0666 2073 4175</t>
  </si>
  <si>
    <t>0446</t>
  </si>
  <si>
    <t>70014787768</t>
  </si>
  <si>
    <t>Mariana Dias Carvalho</t>
  </si>
  <si>
    <t>6062 8200 2973 1585</t>
  </si>
  <si>
    <t>0447</t>
  </si>
  <si>
    <t>94395822606</t>
  </si>
  <si>
    <t>Carolina Gomes Vieira</t>
  </si>
  <si>
    <t>3782 918093 0567</t>
  </si>
  <si>
    <t>3782 622135 0058</t>
  </si>
  <si>
    <t>0448</t>
  </si>
  <si>
    <t>46416070014</t>
  </si>
  <si>
    <t>Jessica Nascimento</t>
  </si>
  <si>
    <t>6062 8200 8408 7166</t>
  </si>
  <si>
    <t>0449</t>
  </si>
  <si>
    <t>23313290361</t>
  </si>
  <si>
    <t>Felipe Ribeiro Cardoso</t>
  </si>
  <si>
    <t>5442 7460 9630 0450</t>
  </si>
  <si>
    <t>0450</t>
  </si>
  <si>
    <t>96360789981</t>
  </si>
  <si>
    <t>Leandro Freitas Moreira</t>
  </si>
  <si>
    <t>6062 8200 3196 3018</t>
  </si>
  <si>
    <t>0451</t>
  </si>
  <si>
    <t>18256004819</t>
  </si>
  <si>
    <t>Felipe Monteiro Nunes</t>
  </si>
  <si>
    <t>5442 7460 1378 8981</t>
  </si>
  <si>
    <t>5442 7460 8164 9157</t>
  </si>
  <si>
    <t>0452</t>
  </si>
  <si>
    <t>92643644204</t>
  </si>
  <si>
    <t>Marcelo Barbosa Araujo</t>
  </si>
  <si>
    <t>3782 601588 6677</t>
  </si>
  <si>
    <t>0453</t>
  </si>
  <si>
    <t>19153526228</t>
  </si>
  <si>
    <t>Caio Cavalcanti</t>
  </si>
  <si>
    <t>5442 7460 4532 1662</t>
  </si>
  <si>
    <t>0454</t>
  </si>
  <si>
    <t>80863695795</t>
  </si>
  <si>
    <t>Sabrina Nunes</t>
  </si>
  <si>
    <t>5442 7460 2601 7863</t>
  </si>
  <si>
    <t>5442 7460 8330 8084</t>
  </si>
  <si>
    <t>0455</t>
  </si>
  <si>
    <t>36311507099</t>
  </si>
  <si>
    <t>Eduardo Cavalcanti Cardoso</t>
  </si>
  <si>
    <t>5442 7460 5663 2922</t>
  </si>
  <si>
    <t>0456</t>
  </si>
  <si>
    <t>90790403200</t>
  </si>
  <si>
    <t>Renata Dias Pinto</t>
  </si>
  <si>
    <t>6062 8200 5075 5754</t>
  </si>
  <si>
    <t>0457</t>
  </si>
  <si>
    <t>58190814982</t>
  </si>
  <si>
    <t>Alexandre Nascimento</t>
  </si>
  <si>
    <t>6062 8200 4443 9931</t>
  </si>
  <si>
    <t>0458</t>
  </si>
  <si>
    <t>84012968114</t>
  </si>
  <si>
    <t>Marcelo Freitas Martins</t>
  </si>
  <si>
    <t>6505 0666 6767 0671</t>
  </si>
  <si>
    <t>0459</t>
  </si>
  <si>
    <t>43484627557</t>
  </si>
  <si>
    <t>Vivian Rodrigues Silva</t>
  </si>
  <si>
    <t>6062 8200 6781 3123</t>
  </si>
  <si>
    <t>0460</t>
  </si>
  <si>
    <t>30133043916</t>
  </si>
  <si>
    <t>Leandro Silva Araujo</t>
  </si>
  <si>
    <t>3782 605506 9993</t>
  </si>
  <si>
    <t>3782 901939 0612</t>
  </si>
  <si>
    <t>0461</t>
  </si>
  <si>
    <t>05968340711</t>
  </si>
  <si>
    <t>Felipe Carvalho</t>
  </si>
  <si>
    <t>4576 7460 7762 0510</t>
  </si>
  <si>
    <t>0462</t>
  </si>
  <si>
    <t>24373458251</t>
  </si>
  <si>
    <t>Gabriela Martins Freitas</t>
  </si>
  <si>
    <t>6062 8200 6690 6144</t>
  </si>
  <si>
    <t>6062 8200 7621 7281</t>
  </si>
  <si>
    <t>0463</t>
  </si>
  <si>
    <t>56340819800</t>
  </si>
  <si>
    <t>Juliana Fernandes</t>
  </si>
  <si>
    <t>6505 0666 7483 9850</t>
  </si>
  <si>
    <t>0464</t>
  </si>
  <si>
    <t>38275457904</t>
  </si>
  <si>
    <t>Fabio Pereira</t>
  </si>
  <si>
    <t>6505 0666 7493 8256</t>
  </si>
  <si>
    <t>6505 0666 4401 0367</t>
  </si>
  <si>
    <t>0465</t>
  </si>
  <si>
    <t>91825322651</t>
  </si>
  <si>
    <t>Vinicius Araujo Nunes</t>
  </si>
  <si>
    <t>6505 0666 8472 5231</t>
  </si>
  <si>
    <t>0466</t>
  </si>
  <si>
    <t>57314179700</t>
  </si>
  <si>
    <t>Marcos Dias Santos</t>
  </si>
  <si>
    <t>5442 7460 3905 9452</t>
  </si>
  <si>
    <t>0467</t>
  </si>
  <si>
    <t>18923147206</t>
  </si>
  <si>
    <t>Diego Oliveira</t>
  </si>
  <si>
    <t>3782 593763 2052</t>
  </si>
  <si>
    <t>0468</t>
  </si>
  <si>
    <t>39415569590</t>
  </si>
  <si>
    <t>Isabela Souza Rodrigues</t>
  </si>
  <si>
    <t>6062 8200 9385 2636</t>
  </si>
  <si>
    <t>0469</t>
  </si>
  <si>
    <t>72234215846</t>
  </si>
  <si>
    <t>Renato Nunes</t>
  </si>
  <si>
    <t>4576 7460 3929 9943</t>
  </si>
  <si>
    <t>0470</t>
  </si>
  <si>
    <t>74729484622</t>
  </si>
  <si>
    <t>Andre Freitas</t>
  </si>
  <si>
    <t>6505 0666 1421 9996</t>
  </si>
  <si>
    <t>0471</t>
  </si>
  <si>
    <t>11386654795</t>
  </si>
  <si>
    <t>Eduardo Carvalho</t>
  </si>
  <si>
    <t>5442 7460 8614 1922</t>
  </si>
  <si>
    <t>0472</t>
  </si>
  <si>
    <t>94366069156</t>
  </si>
  <si>
    <t>Gustavo Moura Almeida</t>
  </si>
  <si>
    <t>6062 8200 7718 0061</t>
  </si>
  <si>
    <t>6062 8200 6752 2509</t>
  </si>
  <si>
    <t>0473</t>
  </si>
  <si>
    <t>21791037780</t>
  </si>
  <si>
    <t>Vinicius Pereira Borges</t>
  </si>
  <si>
    <t>3782 858019 1001</t>
  </si>
  <si>
    <t>0474</t>
  </si>
  <si>
    <t>61404049835</t>
  </si>
  <si>
    <t>Vanessa Oliveira Souza</t>
  </si>
  <si>
    <t>6062 8200 3690 9148</t>
  </si>
  <si>
    <t>6062 8200 7020 7801</t>
  </si>
  <si>
    <t>0475</t>
  </si>
  <si>
    <t>78114315300</t>
  </si>
  <si>
    <t>Danilo Carvalho</t>
  </si>
  <si>
    <t>5442 7460 9500 5993</t>
  </si>
  <si>
    <t>0476</t>
  </si>
  <si>
    <t>52295510031</t>
  </si>
  <si>
    <t>Beatriz Borges Freitas</t>
  </si>
  <si>
    <t>3782 214059 0845</t>
  </si>
  <si>
    <t>0477</t>
  </si>
  <si>
    <t>26383769650</t>
  </si>
  <si>
    <t>Vinicius Moura Ribeiro</t>
  </si>
  <si>
    <t>6062 8200 6274 2253</t>
  </si>
  <si>
    <t>0478</t>
  </si>
  <si>
    <t>08489356165</t>
  </si>
  <si>
    <t>Jessica Martins Fernandes</t>
  </si>
  <si>
    <t>4576 7460 8980 0057</t>
  </si>
  <si>
    <t>0479</t>
  </si>
  <si>
    <t>90281868409</t>
  </si>
  <si>
    <t>Rodrigo Alves Rocha</t>
  </si>
  <si>
    <t>6505 0666 7771 2334</t>
  </si>
  <si>
    <t>0480</t>
  </si>
  <si>
    <t>66067548879</t>
  </si>
  <si>
    <t>Renato Barros Vieira</t>
  </si>
  <si>
    <t>6505 0666 4947 8268</t>
  </si>
  <si>
    <t>6505 0666 9386 2671</t>
  </si>
  <si>
    <t>0481</t>
  </si>
  <si>
    <t>22523359715</t>
  </si>
  <si>
    <t>Leonardo Campos Cavalcanti</t>
  </si>
  <si>
    <t>4576 7460 5264 1693</t>
  </si>
  <si>
    <t>4576 7460 6028 9578</t>
  </si>
  <si>
    <t>0482</t>
  </si>
  <si>
    <t>84828050884</t>
  </si>
  <si>
    <t>Diego Campos</t>
  </si>
  <si>
    <t>5442 7460 8018 8700</t>
  </si>
  <si>
    <t>5442 7460 3403 6225</t>
  </si>
  <si>
    <t>0483</t>
  </si>
  <si>
    <t>23822908118</t>
  </si>
  <si>
    <t>Marcelo Martins Gomes</t>
  </si>
  <si>
    <t>6062 8200 4007 0540</t>
  </si>
  <si>
    <t>0484</t>
  </si>
  <si>
    <t>19724811425</t>
  </si>
  <si>
    <t>Alexandre Mendes Silva</t>
  </si>
  <si>
    <t>3782 566088 0790</t>
  </si>
  <si>
    <t>0485</t>
  </si>
  <si>
    <t>61215935986</t>
  </si>
  <si>
    <t>Carolina Almeida Pereira</t>
  </si>
  <si>
    <t>4576 7460 8094 8576</t>
  </si>
  <si>
    <t>4576 7460 9310 7620</t>
  </si>
  <si>
    <t>0486</t>
  </si>
  <si>
    <t>77620837825</t>
  </si>
  <si>
    <t>Marcelo Barros</t>
  </si>
  <si>
    <t>3782 148363 0308</t>
  </si>
  <si>
    <t>0487</t>
  </si>
  <si>
    <t>10361732678</t>
  </si>
  <si>
    <t>Tatiane Cardoso</t>
  </si>
  <si>
    <t>5442 7460 7994 3956</t>
  </si>
  <si>
    <t>0488</t>
  </si>
  <si>
    <t>08236071430</t>
  </si>
  <si>
    <t>Fabio Nunes Cavalcanti</t>
  </si>
  <si>
    <t>6505 0666 5077 1129</t>
  </si>
  <si>
    <t>6505 0666 6224 1138</t>
  </si>
  <si>
    <t>0489</t>
  </si>
  <si>
    <t>18460763749</t>
  </si>
  <si>
    <t>Jessica Dias Costa</t>
  </si>
  <si>
    <t>3782 778159 2949</t>
  </si>
  <si>
    <t>3782 590785 4812</t>
  </si>
  <si>
    <t>0490</t>
  </si>
  <si>
    <t>31320895166</t>
  </si>
  <si>
    <t>Isabela Mendes</t>
  </si>
  <si>
    <t>6062 8200 3243 2731</t>
  </si>
  <si>
    <t>0491</t>
  </si>
  <si>
    <t>77615162432</t>
  </si>
  <si>
    <t>Vivian Santos</t>
  </si>
  <si>
    <t>6062 8200 3626 9554</t>
  </si>
  <si>
    <t>0492</t>
  </si>
  <si>
    <t>58933291121</t>
  </si>
  <si>
    <t>Sabrina Costa Teixeira</t>
  </si>
  <si>
    <t>6062 8200 8448 7769</t>
  </si>
  <si>
    <t>6062 8200 3012 1863</t>
  </si>
  <si>
    <t>0493</t>
  </si>
  <si>
    <t>22060989540</t>
  </si>
  <si>
    <t>Mariana Almeida</t>
  </si>
  <si>
    <t>5442 7460 3392 0513</t>
  </si>
  <si>
    <t>0494</t>
  </si>
  <si>
    <t>68687344414</t>
  </si>
  <si>
    <t>Gabriela Oliveira Cardoso</t>
  </si>
  <si>
    <t>5442 7460 9195 6352</t>
  </si>
  <si>
    <t>0495</t>
  </si>
  <si>
    <t>77842530955</t>
  </si>
  <si>
    <t>Alexandre Mendes Campos</t>
  </si>
  <si>
    <t>6062 8200 7803 6603</t>
  </si>
  <si>
    <t>0496</t>
  </si>
  <si>
    <t>10220526753</t>
  </si>
  <si>
    <t>Diego Lima Campos</t>
  </si>
  <si>
    <t>3782 735652 3026</t>
  </si>
  <si>
    <t>3782 172542 6896</t>
  </si>
  <si>
    <t>0497</t>
  </si>
  <si>
    <t>21477973400</t>
  </si>
  <si>
    <t>Juliana Alves Silva</t>
  </si>
  <si>
    <t>5442 7460 7525 7591</t>
  </si>
  <si>
    <t>0498</t>
  </si>
  <si>
    <t>77043495202</t>
  </si>
  <si>
    <t>Mariana Nascimento</t>
  </si>
  <si>
    <t>3782 673973 4229</t>
  </si>
  <si>
    <t>0499</t>
  </si>
  <si>
    <t>95236198534</t>
  </si>
  <si>
    <t>Marcelo Moura</t>
  </si>
  <si>
    <t>4576 7460 1579 0736</t>
  </si>
  <si>
    <t>0500</t>
  </si>
  <si>
    <t>10269971009</t>
  </si>
  <si>
    <t>Rafael Martins Barbosa</t>
  </si>
  <si>
    <t>4576 7460 6196 2872</t>
  </si>
  <si>
    <t>4576 7460 6663 8067</t>
  </si>
  <si>
    <t>0501</t>
  </si>
  <si>
    <t>87859448157</t>
  </si>
  <si>
    <t>Felipe Barbosa Castro</t>
  </si>
  <si>
    <t>6505 0666 2419 3924</t>
  </si>
  <si>
    <t>6505 0666 2016 9244</t>
  </si>
  <si>
    <t>0502</t>
  </si>
  <si>
    <t>10085157015</t>
  </si>
  <si>
    <t>Bianca Lima</t>
  </si>
  <si>
    <t>6505 0666 4436 7507</t>
  </si>
  <si>
    <t>0503</t>
  </si>
  <si>
    <t>98850825145</t>
  </si>
  <si>
    <t>Debora Fernandes Pinto</t>
  </si>
  <si>
    <t>5442 7460 3225 6598</t>
  </si>
  <si>
    <t>0504</t>
  </si>
  <si>
    <t>90928535002</t>
  </si>
  <si>
    <t>Carolina Martins Monteiro</t>
  </si>
  <si>
    <t>4576 7460 3448 9894</t>
  </si>
  <si>
    <t>4576 7460 5517 0087</t>
  </si>
  <si>
    <t>0505</t>
  </si>
  <si>
    <t>12202285245</t>
  </si>
  <si>
    <t>Tatiane Cardoso Rocha</t>
  </si>
  <si>
    <t>3782 180627 9504</t>
  </si>
  <si>
    <t>0506</t>
  </si>
  <si>
    <t>85191797892</t>
  </si>
  <si>
    <t>Renata Campos</t>
  </si>
  <si>
    <t>5442 7460 9891 7223</t>
  </si>
  <si>
    <t>0507</t>
  </si>
  <si>
    <t>69737030702</t>
  </si>
  <si>
    <t>Marcelo Mendes</t>
  </si>
  <si>
    <t>6505 0666 1741 7723</t>
  </si>
  <si>
    <t>0508</t>
  </si>
  <si>
    <t>43375327811</t>
  </si>
  <si>
    <t>Guilherme Rocha</t>
  </si>
  <si>
    <t>6505 0666 7662 2151</t>
  </si>
  <si>
    <t>6505 0666 9872 8637</t>
  </si>
  <si>
    <t>0509</t>
  </si>
  <si>
    <t>28979854960</t>
  </si>
  <si>
    <t>Sabrina Araujo Monteiro</t>
  </si>
  <si>
    <t>4576 7460 3577 2510</t>
  </si>
  <si>
    <t>0510</t>
  </si>
  <si>
    <t>00253817765</t>
  </si>
  <si>
    <t>Rodrigo Mendes Cavalcanti</t>
  </si>
  <si>
    <t>5442 7460 8734 3751</t>
  </si>
  <si>
    <t>5442 7460 7062 7877</t>
  </si>
  <si>
    <t>0511</t>
  </si>
  <si>
    <t>94603422644</t>
  </si>
  <si>
    <t>Isabela Souza Vieira</t>
  </si>
  <si>
    <t>6062 8200 4115 8825</t>
  </si>
  <si>
    <t>6062 8200 4194 8899</t>
  </si>
  <si>
    <t>0512</t>
  </si>
  <si>
    <t>88483031108</t>
  </si>
  <si>
    <t>Diego Teixeira Vieira</t>
  </si>
  <si>
    <t>4576 7460 9299 7832</t>
  </si>
  <si>
    <t>4576 7460 1702 1326</t>
  </si>
  <si>
    <t>0513</t>
  </si>
  <si>
    <t>36016578053</t>
  </si>
  <si>
    <t>Carolina Monteiro Moreira</t>
  </si>
  <si>
    <t>6062 8200 4855 5764</t>
  </si>
  <si>
    <t>0514</t>
  </si>
  <si>
    <t>25243338923</t>
  </si>
  <si>
    <t>Leonardo Martins Cavalcanti</t>
  </si>
  <si>
    <t>3782 828012 1686</t>
  </si>
  <si>
    <t>0515</t>
  </si>
  <si>
    <t>57743688747</t>
  </si>
  <si>
    <t>Alexandre Silva Almeida</t>
  </si>
  <si>
    <t>4576 7460 2353 6423</t>
  </si>
  <si>
    <t>0516</t>
  </si>
  <si>
    <t>78737235770</t>
  </si>
  <si>
    <t>Guilherme Silva Oliveira</t>
  </si>
  <si>
    <t>4576 7460 1459 8894</t>
  </si>
  <si>
    <t>0517</t>
  </si>
  <si>
    <t>53572586860</t>
  </si>
  <si>
    <t>Vanessa Barbosa</t>
  </si>
  <si>
    <t>6505 0666 2913 7530</t>
  </si>
  <si>
    <t>6505 0666 8514 7096</t>
  </si>
  <si>
    <t>0518</t>
  </si>
  <si>
    <t>69866249212</t>
  </si>
  <si>
    <t>Guilherme Almeida</t>
  </si>
  <si>
    <t>6062 8200 4092 5784</t>
  </si>
  <si>
    <t>0519</t>
  </si>
  <si>
    <t>50545587727</t>
  </si>
  <si>
    <t>Mariana Souza Barbosa</t>
  </si>
  <si>
    <t>3782 228779 6703</t>
  </si>
  <si>
    <t>3782 196580 6772</t>
  </si>
  <si>
    <t>0520</t>
  </si>
  <si>
    <t>59855723317</t>
  </si>
  <si>
    <t>Matheus Carvalho</t>
  </si>
  <si>
    <t>5442 7460 3052 4600</t>
  </si>
  <si>
    <t>5442 7460 8283 4043</t>
  </si>
  <si>
    <t>0521</t>
  </si>
  <si>
    <t>42748234820</t>
  </si>
  <si>
    <t>Debora Vieira Moreira</t>
  </si>
  <si>
    <t>6505 0666 8082 7429</t>
  </si>
  <si>
    <t>0522</t>
  </si>
  <si>
    <t>40148252990</t>
  </si>
  <si>
    <t>Juliana Teixeira</t>
  </si>
  <si>
    <t>6062 8200 8781 2402</t>
  </si>
  <si>
    <t>6062 8200 2573 2833</t>
  </si>
  <si>
    <t>0523</t>
  </si>
  <si>
    <t>71095799800</t>
  </si>
  <si>
    <t>Patricia Araujo Cardoso</t>
  </si>
  <si>
    <t>6505 0666 5561 8971</t>
  </si>
  <si>
    <t>0524</t>
  </si>
  <si>
    <t>55280087785</t>
  </si>
  <si>
    <t>Lucas Monteiro Martins</t>
  </si>
  <si>
    <t>5442 7460 4584 6238</t>
  </si>
  <si>
    <t>0525</t>
  </si>
  <si>
    <t>35276990409</t>
  </si>
  <si>
    <t>Eduardo Cavalcanti</t>
  </si>
  <si>
    <t>3782 702319 5906</t>
  </si>
  <si>
    <t>3782 340602 6540</t>
  </si>
  <si>
    <t>0526</t>
  </si>
  <si>
    <t>22747314979</t>
  </si>
  <si>
    <t>Marcos Oliveira Pinto</t>
  </si>
  <si>
    <t>6062 8200 2004 0229</t>
  </si>
  <si>
    <t>0527</t>
  </si>
  <si>
    <t>80446749346</t>
  </si>
  <si>
    <t>Gustavo Mendes Almeida</t>
  </si>
  <si>
    <t>6062 8200 8364 4010</t>
  </si>
  <si>
    <t>0528</t>
  </si>
  <si>
    <t>17045708750</t>
  </si>
  <si>
    <t>Rafael Costa</t>
  </si>
  <si>
    <t>4576 7460 6956 0301</t>
  </si>
  <si>
    <t>0529</t>
  </si>
  <si>
    <t>35678510630</t>
  </si>
  <si>
    <t>5442 7460 1340 5488</t>
  </si>
  <si>
    <t>0530</t>
  </si>
  <si>
    <t>16347313790</t>
  </si>
  <si>
    <t>Bianca Costa Dias</t>
  </si>
  <si>
    <t>4576 7460 6513 0296</t>
  </si>
  <si>
    <t>0531</t>
  </si>
  <si>
    <t>45682189183</t>
  </si>
  <si>
    <t>Aline Carvalho Araujo</t>
  </si>
  <si>
    <t>5442 7460 6411 9801</t>
  </si>
  <si>
    <t>5442 7460 9311 3482</t>
  </si>
  <si>
    <t>0532</t>
  </si>
  <si>
    <t>65860638337</t>
  </si>
  <si>
    <t>Aline Alves Freitas</t>
  </si>
  <si>
    <t>6062 8200 1185 0873</t>
  </si>
  <si>
    <t>6062 8200 1380 3763</t>
  </si>
  <si>
    <t>0533</t>
  </si>
  <si>
    <t>86611780025</t>
  </si>
  <si>
    <t>Fabio Vieira</t>
  </si>
  <si>
    <t>5442 7460 2809 6226</t>
  </si>
  <si>
    <t>0534</t>
  </si>
  <si>
    <t>30193549786</t>
  </si>
  <si>
    <t>Gustavo Teixeira Martins</t>
  </si>
  <si>
    <t>4576 7460 4535 2627</t>
  </si>
  <si>
    <t>0535</t>
  </si>
  <si>
    <t>31210749467</t>
  </si>
  <si>
    <t>Guilherme Lima Freitas</t>
  </si>
  <si>
    <t>5442 7460 1763 3470</t>
  </si>
  <si>
    <t>0536</t>
  </si>
  <si>
    <t>48567866448</t>
  </si>
  <si>
    <t>Juliana Nascimento</t>
  </si>
  <si>
    <t>3782 673876 9623</t>
  </si>
  <si>
    <t>3782 121111 0299</t>
  </si>
  <si>
    <t>0537</t>
  </si>
  <si>
    <t>42927399000</t>
  </si>
  <si>
    <t>Fabio Santos</t>
  </si>
  <si>
    <t>3782 389203 6229</t>
  </si>
  <si>
    <t>3782 244367 5681</t>
  </si>
  <si>
    <t>0538</t>
  </si>
  <si>
    <t>40199175314</t>
  </si>
  <si>
    <t>Diego Carvalho</t>
  </si>
  <si>
    <t>4576 7460 4823 2011</t>
  </si>
  <si>
    <t>0539</t>
  </si>
  <si>
    <t>15586944715</t>
  </si>
  <si>
    <t>Matheus Carvalho Lima</t>
  </si>
  <si>
    <t>5442 7460 8062 8331</t>
  </si>
  <si>
    <t>5442 7460 9704 8351</t>
  </si>
  <si>
    <t>0540</t>
  </si>
  <si>
    <t>23451232308</t>
  </si>
  <si>
    <t>Leticia Borges Fernandes</t>
  </si>
  <si>
    <t>4576 7460 6807 9124</t>
  </si>
  <si>
    <t>4576 7460 8041 1006</t>
  </si>
  <si>
    <t>0541</t>
  </si>
  <si>
    <t>93535047919</t>
  </si>
  <si>
    <t>Eduardo Borges Gomes</t>
  </si>
  <si>
    <t>5442 7460 6488 3185</t>
  </si>
  <si>
    <t>5442 7460 7322 1967</t>
  </si>
  <si>
    <t>0542</t>
  </si>
  <si>
    <t>42136053965</t>
  </si>
  <si>
    <t>Marcelo Teixeira</t>
  </si>
  <si>
    <t>5442 7460 4194 0341</t>
  </si>
  <si>
    <t>0543</t>
  </si>
  <si>
    <t>36507272698</t>
  </si>
  <si>
    <t>Gabriel Monteiro Castro</t>
  </si>
  <si>
    <t>6505 0666 6055 2962</t>
  </si>
  <si>
    <t>0544</t>
  </si>
  <si>
    <t>14495297040</t>
  </si>
  <si>
    <t>Mariana Dias Souza</t>
  </si>
  <si>
    <t>6505 0666 6816 0428</t>
  </si>
  <si>
    <t>6505 0666 5198 7149</t>
  </si>
  <si>
    <t>0545</t>
  </si>
  <si>
    <t>11579652379</t>
  </si>
  <si>
    <t>Matheus Lima Castro</t>
  </si>
  <si>
    <t>3782 739850 9947</t>
  </si>
  <si>
    <t>0546</t>
  </si>
  <si>
    <t>96858885820</t>
  </si>
  <si>
    <t>Gabriel Vieira Gomes</t>
  </si>
  <si>
    <t>3782 391837 7856</t>
  </si>
  <si>
    <t>3782 860989 5784</t>
  </si>
  <si>
    <t>0547</t>
  </si>
  <si>
    <t>62897585439</t>
  </si>
  <si>
    <t>Felipe Fernandes</t>
  </si>
  <si>
    <t>5442 7460 4420 2004</t>
  </si>
  <si>
    <t>0548</t>
  </si>
  <si>
    <t>14468705612</t>
  </si>
  <si>
    <t>Leticia Silva Alves</t>
  </si>
  <si>
    <t>6505 0666 7649 9256</t>
  </si>
  <si>
    <t>0549</t>
  </si>
  <si>
    <t>29281452065</t>
  </si>
  <si>
    <t>Renato Pinto Dias</t>
  </si>
  <si>
    <t>5442 7460 2945 1438</t>
  </si>
  <si>
    <t>0550</t>
  </si>
  <si>
    <t>88893437708</t>
  </si>
  <si>
    <t>Renato Monteiro Dias</t>
  </si>
  <si>
    <t>3782 944386 1842</t>
  </si>
  <si>
    <t>0551</t>
  </si>
  <si>
    <t>49758458060</t>
  </si>
  <si>
    <t>Marcelo Pereira Araujo</t>
  </si>
  <si>
    <t>6505 0666 5969 0505</t>
  </si>
  <si>
    <t>0552</t>
  </si>
  <si>
    <t>95695394376</t>
  </si>
  <si>
    <t>Danilo Pinto</t>
  </si>
  <si>
    <t>5442 7460 7210 2246</t>
  </si>
  <si>
    <t>0553</t>
  </si>
  <si>
    <t>23917560208</t>
  </si>
  <si>
    <t>Vanessa Lima</t>
  </si>
  <si>
    <t>6062 8200 7816 7543</t>
  </si>
  <si>
    <t>0554</t>
  </si>
  <si>
    <t>72395319538</t>
  </si>
  <si>
    <t>Leticia Alves</t>
  </si>
  <si>
    <t>6505 0666 4766 5629</t>
  </si>
  <si>
    <t>0555</t>
  </si>
  <si>
    <t>58725893289</t>
  </si>
  <si>
    <t>Jessica Silva Gomes</t>
  </si>
  <si>
    <t>4576 7460 7782 0298</t>
  </si>
  <si>
    <t>4576 7460 7613 7807</t>
  </si>
  <si>
    <t>0556</t>
  </si>
  <si>
    <t>06821843066</t>
  </si>
  <si>
    <t>Gabriel Castro Oliveira</t>
  </si>
  <si>
    <t>5442 7460 2155 2943</t>
  </si>
  <si>
    <t>0557</t>
  </si>
  <si>
    <t>17010528900</t>
  </si>
  <si>
    <t>Fernanda Monteiro Dias</t>
  </si>
  <si>
    <t>3782 601442 1660</t>
  </si>
  <si>
    <t>3782 987493 8880</t>
  </si>
  <si>
    <t>0558</t>
  </si>
  <si>
    <t>17758906273</t>
  </si>
  <si>
    <t>Caio Rocha Araujo</t>
  </si>
  <si>
    <t>4576 7460 6132 2768</t>
  </si>
  <si>
    <t>0559</t>
  </si>
  <si>
    <t>35727937426</t>
  </si>
  <si>
    <t>Danilo Cardoso</t>
  </si>
  <si>
    <t>6505 0666 2859 3383</t>
  </si>
  <si>
    <t>0560</t>
  </si>
  <si>
    <t>50839317107</t>
  </si>
  <si>
    <t>Thiago Ribeiro</t>
  </si>
  <si>
    <t>5442 7460 3061 5889</t>
  </si>
  <si>
    <t>5442 7460 2070 2996</t>
  </si>
  <si>
    <t>0561</t>
  </si>
  <si>
    <t>64523742812</t>
  </si>
  <si>
    <t>Aline Cavalcanti Santos</t>
  </si>
  <si>
    <t>6062 8200 8930 7538</t>
  </si>
  <si>
    <t>0562</t>
  </si>
  <si>
    <t>68095072214</t>
  </si>
  <si>
    <t>Beatriz Nunes</t>
  </si>
  <si>
    <t>6505 0666 7786 7863</t>
  </si>
  <si>
    <t>6505 0666 2308 4248</t>
  </si>
  <si>
    <t>0563</t>
  </si>
  <si>
    <t>02165154162</t>
  </si>
  <si>
    <t>Bianca Araujo Pinto</t>
  </si>
  <si>
    <t>6062 8200 9587 2227</t>
  </si>
  <si>
    <t>6062 8200 4302 0817</t>
  </si>
  <si>
    <t>0564</t>
  </si>
  <si>
    <t>71873195257</t>
  </si>
  <si>
    <t>Marcelo Martins Pereira</t>
  </si>
  <si>
    <t>4576 7460 2668 5155</t>
  </si>
  <si>
    <t>0565</t>
  </si>
  <si>
    <t>21341008851</t>
  </si>
  <si>
    <t>Fabio Costa Lima</t>
  </si>
  <si>
    <t>3782 359171 0681</t>
  </si>
  <si>
    <t>3782 844611 1733</t>
  </si>
  <si>
    <t>0566</t>
  </si>
  <si>
    <t>38935977608</t>
  </si>
  <si>
    <t>Isabela Rodrigues Barros</t>
  </si>
  <si>
    <t>5442 7460 6823 1840</t>
  </si>
  <si>
    <t>0567</t>
  </si>
  <si>
    <t>68365470004</t>
  </si>
  <si>
    <t>Aline Martins Lima</t>
  </si>
  <si>
    <t>6062 8200 2960 2088</t>
  </si>
  <si>
    <t>0568</t>
  </si>
  <si>
    <t>05030884041</t>
  </si>
  <si>
    <t>Renata Santos Fernandes</t>
  </si>
  <si>
    <t>5442 7460 2757 7964</t>
  </si>
  <si>
    <t>5442 7460 8166 5827</t>
  </si>
  <si>
    <t>0569</t>
  </si>
  <si>
    <t>81460184599</t>
  </si>
  <si>
    <t>Beatriz Moura Oliveira</t>
  </si>
  <si>
    <t>6062 8200 7865 0995</t>
  </si>
  <si>
    <t>0570</t>
  </si>
  <si>
    <t>48660346378</t>
  </si>
  <si>
    <t>Mariana Moreira Silva</t>
  </si>
  <si>
    <t>5442 7460 7322 9558</t>
  </si>
  <si>
    <t>0571</t>
  </si>
  <si>
    <t>75494348164</t>
  </si>
  <si>
    <t>Camila Moura</t>
  </si>
  <si>
    <t>5442 7460 1412 5566</t>
  </si>
  <si>
    <t>5442 7460 5311 2828</t>
  </si>
  <si>
    <t>0572</t>
  </si>
  <si>
    <t>24877274979</t>
  </si>
  <si>
    <t>Tatiane Teixeira</t>
  </si>
  <si>
    <t>5442 7460 3161 6013</t>
  </si>
  <si>
    <t>5442 7460 6271 4030</t>
  </si>
  <si>
    <t>0573</t>
  </si>
  <si>
    <t>36913953330</t>
  </si>
  <si>
    <t>Felipe Almeida</t>
  </si>
  <si>
    <t>6505 0666 1932 5532</t>
  </si>
  <si>
    <t>0574</t>
  </si>
  <si>
    <t>93835054007</t>
  </si>
  <si>
    <t>Marcelo Nunes Oliveira</t>
  </si>
  <si>
    <t>6062 8200 9749 1335</t>
  </si>
  <si>
    <t>6062 8200 7166 6684</t>
  </si>
  <si>
    <t>0575</t>
  </si>
  <si>
    <t>29627647624</t>
  </si>
  <si>
    <t>Eduardo Fernandes Oliveira</t>
  </si>
  <si>
    <t>3782 949961 0722</t>
  </si>
  <si>
    <t>3782 727040 3777</t>
  </si>
  <si>
    <t>0576</t>
  </si>
  <si>
    <t>11764026411</t>
  </si>
  <si>
    <t>Leonardo Moura</t>
  </si>
  <si>
    <t>4576 7460 9685 9140</t>
  </si>
  <si>
    <t>0577</t>
  </si>
  <si>
    <t>50170102629</t>
  </si>
  <si>
    <t>Rodrigo Castro Teixeira</t>
  </si>
  <si>
    <t>6062 8200 3337 0458</t>
  </si>
  <si>
    <t>0578</t>
  </si>
  <si>
    <t>28069862491</t>
  </si>
  <si>
    <t>Fabio Nunes Nascimento</t>
  </si>
  <si>
    <t>6505 0666 4720 9999</t>
  </si>
  <si>
    <t>0579</t>
  </si>
  <si>
    <t>82045577520</t>
  </si>
  <si>
    <t>Priscila Dias Araujo</t>
  </si>
  <si>
    <t>4576 7460 4378 7840</t>
  </si>
  <si>
    <t>0580</t>
  </si>
  <si>
    <t>67200755940</t>
  </si>
  <si>
    <t>Priscila Almeida Freitas</t>
  </si>
  <si>
    <t>6505 0666 3525 7068</t>
  </si>
  <si>
    <t>6505 0666 4652 4781</t>
  </si>
  <si>
    <t>0581</t>
  </si>
  <si>
    <t>32200759320</t>
  </si>
  <si>
    <t>Marcelo Lima</t>
  </si>
  <si>
    <t>6062 8200 5001 3045</t>
  </si>
  <si>
    <t>0582</t>
  </si>
  <si>
    <t>64108319788</t>
  </si>
  <si>
    <t>Rodrigo Castro</t>
  </si>
  <si>
    <t>5442 7460 7260 9407</t>
  </si>
  <si>
    <t>0583</t>
  </si>
  <si>
    <t>74827231451</t>
  </si>
  <si>
    <t>Gabriela Vieira</t>
  </si>
  <si>
    <t>4576 7460 2010 3791</t>
  </si>
  <si>
    <t>4576 7460 2756 5795</t>
  </si>
  <si>
    <t>0584</t>
  </si>
  <si>
    <t>30369578040</t>
  </si>
  <si>
    <t>Juliana Cavalcanti</t>
  </si>
  <si>
    <t>6505 0666 3725 8391</t>
  </si>
  <si>
    <t>0585</t>
  </si>
  <si>
    <t>96264341711</t>
  </si>
  <si>
    <t>Fabio Almeida Moura</t>
  </si>
  <si>
    <t>6062 8200 5624 5958</t>
  </si>
  <si>
    <t>6062 8200 8583 1064</t>
  </si>
  <si>
    <t>0586</t>
  </si>
  <si>
    <t>86962672225</t>
  </si>
  <si>
    <t>Rafael Carvalho</t>
  </si>
  <si>
    <t>4576 7460 8299 2692</t>
  </si>
  <si>
    <t>4576 7460 2425 9641</t>
  </si>
  <si>
    <t>0587</t>
  </si>
  <si>
    <t>79268082292</t>
  </si>
  <si>
    <t>Rodrigo Silva Araujo</t>
  </si>
  <si>
    <t>5442 7460 3117 8905</t>
  </si>
  <si>
    <t>5442 7460 8509 5811</t>
  </si>
  <si>
    <t>0588</t>
  </si>
  <si>
    <t>64126129391</t>
  </si>
  <si>
    <t>Debora Freitas Carvalho</t>
  </si>
  <si>
    <t>4576 7460 4069 5208</t>
  </si>
  <si>
    <t>4576 7460 2536 6014</t>
  </si>
  <si>
    <t>0589</t>
  </si>
  <si>
    <t>67392936271</t>
  </si>
  <si>
    <t>Sabrina Castro Cavalcanti</t>
  </si>
  <si>
    <t>5442 7460 5212 1027</t>
  </si>
  <si>
    <t>5442 7460 9766 1834</t>
  </si>
  <si>
    <t>0590</t>
  </si>
  <si>
    <t>00052348083</t>
  </si>
  <si>
    <t>Marcelo Barbosa</t>
  </si>
  <si>
    <t>3782 691184 9796</t>
  </si>
  <si>
    <t>0591</t>
  </si>
  <si>
    <t>53248330295</t>
  </si>
  <si>
    <t>Isabela Cavalcanti Moura</t>
  </si>
  <si>
    <t>6062 8200 1901 3084</t>
  </si>
  <si>
    <t>0592</t>
  </si>
  <si>
    <t>33143207604</t>
  </si>
  <si>
    <t>Juliana Ribeiro Fernandes</t>
  </si>
  <si>
    <t>3782 315190 1684</t>
  </si>
  <si>
    <t>3782 281320 9059</t>
  </si>
  <si>
    <t>0593</t>
  </si>
  <si>
    <t>65855878120</t>
  </si>
  <si>
    <t>Fernanda Moura Freitas</t>
  </si>
  <si>
    <t>6062 8200 3022 3204</t>
  </si>
  <si>
    <t>6062 8200 9026 4067</t>
  </si>
  <si>
    <t>0594</t>
  </si>
  <si>
    <t>10445178248</t>
  </si>
  <si>
    <t>Aline Pinto Gomes</t>
  </si>
  <si>
    <t>6062 8200 5651 0344</t>
  </si>
  <si>
    <t>6062 8200 6746 4761</t>
  </si>
  <si>
    <t>0595</t>
  </si>
  <si>
    <t>87615998085</t>
  </si>
  <si>
    <t>Lucas Castro</t>
  </si>
  <si>
    <t>6062 8200 3614 1349</t>
  </si>
  <si>
    <t>6062 8200 4072 4495</t>
  </si>
  <si>
    <t>0596</t>
  </si>
  <si>
    <t>12890408345</t>
  </si>
  <si>
    <t>Caio Moura Santos</t>
  </si>
  <si>
    <t>6505 0666 1198 9779</t>
  </si>
  <si>
    <t>0597</t>
  </si>
  <si>
    <t>95386746936</t>
  </si>
  <si>
    <t>Amanda Dias Costa</t>
  </si>
  <si>
    <t>4576 7460 5954 0457</t>
  </si>
  <si>
    <t>0598</t>
  </si>
  <si>
    <t>29521132701</t>
  </si>
  <si>
    <t>Andre Rocha Campos</t>
  </si>
  <si>
    <t>5442 7460 3950 4941</t>
  </si>
  <si>
    <t>0599</t>
  </si>
  <si>
    <t>50051122600</t>
  </si>
  <si>
    <t>Matheus Barros Castro</t>
  </si>
  <si>
    <t>3782 295886 9182</t>
  </si>
  <si>
    <t>0600</t>
  </si>
  <si>
    <t>25390414268</t>
  </si>
  <si>
    <t>Priscila Castro Cardoso</t>
  </si>
  <si>
    <t>3782 232681 9645</t>
  </si>
  <si>
    <t>3782 777481 8207</t>
  </si>
  <si>
    <t>0601</t>
  </si>
  <si>
    <t>06114963997</t>
  </si>
  <si>
    <t>Alexandre Fernandes</t>
  </si>
  <si>
    <t>6505 0666 1731 4894</t>
  </si>
  <si>
    <t>6505 0666 5177 4822</t>
  </si>
  <si>
    <t>0602</t>
  </si>
  <si>
    <t>36021809300</t>
  </si>
  <si>
    <t>Gustavo Campos Almeida</t>
  </si>
  <si>
    <t>6062 8200 5753 0225</t>
  </si>
  <si>
    <t>0603</t>
  </si>
  <si>
    <t>31555690424</t>
  </si>
  <si>
    <t>Renato Carvalho</t>
  </si>
  <si>
    <t>3782 299540 0335</t>
  </si>
  <si>
    <t>0604</t>
  </si>
  <si>
    <t>96261693382</t>
  </si>
  <si>
    <t>Priscila Carvalho</t>
  </si>
  <si>
    <t>6062 8200 9452 5027</t>
  </si>
  <si>
    <t>0605</t>
  </si>
  <si>
    <t>12896065792</t>
  </si>
  <si>
    <t>Tatiane Almeida</t>
  </si>
  <si>
    <t>4576 7460 3674 1991</t>
  </si>
  <si>
    <t>4576 7460 9786 8649</t>
  </si>
  <si>
    <t>0606</t>
  </si>
  <si>
    <t>66641243354</t>
  </si>
  <si>
    <t>Eduardo Mendes</t>
  </si>
  <si>
    <t>5442 7460 1423 9005</t>
  </si>
  <si>
    <t>5442 7460 1498 6885</t>
  </si>
  <si>
    <t>0607</t>
  </si>
  <si>
    <t>73150347491</t>
  </si>
  <si>
    <t>Matheus Fernandes</t>
  </si>
  <si>
    <t>6062 8200 6618 3502</t>
  </si>
  <si>
    <t>0608</t>
  </si>
  <si>
    <t>53025312599</t>
  </si>
  <si>
    <t>Isabela Gomes Alves</t>
  </si>
  <si>
    <t>6505 0666 6166 8060</t>
  </si>
  <si>
    <t>0609</t>
  </si>
  <si>
    <t>48238930340</t>
  </si>
  <si>
    <t>Bruno Cavalcanti Rocha</t>
  </si>
  <si>
    <t>4576 7460 6692 5428</t>
  </si>
  <si>
    <t>4576 7460 2805 1153</t>
  </si>
  <si>
    <t>0610</t>
  </si>
  <si>
    <t>22437206124</t>
  </si>
  <si>
    <t>5442 7460 6515 4570</t>
  </si>
  <si>
    <t>0611</t>
  </si>
  <si>
    <t>65415312188</t>
  </si>
  <si>
    <t>Tatiane Castro Pinto</t>
  </si>
  <si>
    <t>4576 7460 6527 7157</t>
  </si>
  <si>
    <t>0612</t>
  </si>
  <si>
    <t>00781769809</t>
  </si>
  <si>
    <t>Larissa Dias</t>
  </si>
  <si>
    <t>6062 8200 1145 8081</t>
  </si>
  <si>
    <t>6062 8200 6110 8190</t>
  </si>
  <si>
    <t>0613</t>
  </si>
  <si>
    <t>67536228708</t>
  </si>
  <si>
    <t>Felipe Borges Teixeira</t>
  </si>
  <si>
    <t>5442 7460 9635 1012</t>
  </si>
  <si>
    <t>0614</t>
  </si>
  <si>
    <t>12548559980</t>
  </si>
  <si>
    <t>Gabriela Araujo Costa</t>
  </si>
  <si>
    <t>4576 7460 7802 6798</t>
  </si>
  <si>
    <t>0615</t>
  </si>
  <si>
    <t>00150685360</t>
  </si>
  <si>
    <t>Diego Moura Fernandes</t>
  </si>
  <si>
    <t>4576 7460 1135 9931</t>
  </si>
  <si>
    <t>0616</t>
  </si>
  <si>
    <t>08531959608</t>
  </si>
  <si>
    <t>Marcos Araujo Oliveira</t>
  </si>
  <si>
    <t>6505 0666 5833 3269</t>
  </si>
  <si>
    <t>6505 0666 6617 4152</t>
  </si>
  <si>
    <t>0617</t>
  </si>
  <si>
    <t>33441701046</t>
  </si>
  <si>
    <t>Rodrigo Araujo Rocha</t>
  </si>
  <si>
    <t>6505 0666 5090 8469</t>
  </si>
  <si>
    <t>0618</t>
  </si>
  <si>
    <t>77103441863</t>
  </si>
  <si>
    <t>Jessica Oliveira</t>
  </si>
  <si>
    <t>6505 0666 7982 5731</t>
  </si>
  <si>
    <t>6505 0666 5864 2925</t>
  </si>
  <si>
    <t>0619</t>
  </si>
  <si>
    <t>20773978100</t>
  </si>
  <si>
    <t>Vinicius Fernandes Barbosa</t>
  </si>
  <si>
    <t>6062 8200 9422 0065</t>
  </si>
  <si>
    <t>0620</t>
  </si>
  <si>
    <t>43833239107</t>
  </si>
  <si>
    <t>Marcos Gomes Freitas</t>
  </si>
  <si>
    <t>5442 7460 5986 4485</t>
  </si>
  <si>
    <t>0621</t>
  </si>
  <si>
    <t>13072736375</t>
  </si>
  <si>
    <t>Sabrina Moreira Barbosa</t>
  </si>
  <si>
    <t>6062 8200 4538 0495</t>
  </si>
  <si>
    <t>6062 8200 6562 3063</t>
  </si>
  <si>
    <t>0622</t>
  </si>
  <si>
    <t>96616586766</t>
  </si>
  <si>
    <t>Bianca Mendes Rocha</t>
  </si>
  <si>
    <t>4576 7460 3411 5364</t>
  </si>
  <si>
    <t>4576 7460 3878 6137</t>
  </si>
  <si>
    <t>0623</t>
  </si>
  <si>
    <t>97493442436</t>
  </si>
  <si>
    <t>Carolina Barros</t>
  </si>
  <si>
    <t>4576 7460 4124 3143</t>
  </si>
  <si>
    <t>0624</t>
  </si>
  <si>
    <t>96128311652</t>
  </si>
  <si>
    <t>Vinicius Cardoso Borges</t>
  </si>
  <si>
    <t>4576 7460 6444 4612</t>
  </si>
  <si>
    <t>0625</t>
  </si>
  <si>
    <t>91912151707</t>
  </si>
  <si>
    <t>Leonardo Almeida Oliveira</t>
  </si>
  <si>
    <t>4576 7460 3879 5762</t>
  </si>
  <si>
    <t>0626</t>
  </si>
  <si>
    <t>25766394616</t>
  </si>
  <si>
    <t>Sabrina Cavalcanti Barros</t>
  </si>
  <si>
    <t>5442 7460 8606 4773</t>
  </si>
  <si>
    <t>0627</t>
  </si>
  <si>
    <t>25545318208</t>
  </si>
  <si>
    <t>Matheus Araujo Pinto</t>
  </si>
  <si>
    <t>5442 7460 5754 0958</t>
  </si>
  <si>
    <t>5442 7460 3228 1461</t>
  </si>
  <si>
    <t>0628</t>
  </si>
  <si>
    <t>33254130219</t>
  </si>
  <si>
    <t>Eduardo Vieira Rodrigues</t>
  </si>
  <si>
    <t>6062 8200 4227 3470</t>
  </si>
  <si>
    <t>0629</t>
  </si>
  <si>
    <t>35702246438</t>
  </si>
  <si>
    <t>Camila Nunes Ribeiro</t>
  </si>
  <si>
    <t>3782 985760 4687</t>
  </si>
  <si>
    <t>3782 953656 6232</t>
  </si>
  <si>
    <t>0630</t>
  </si>
  <si>
    <t>59013152350</t>
  </si>
  <si>
    <t>Felipe Dias</t>
  </si>
  <si>
    <t>3782 659927 9442</t>
  </si>
  <si>
    <t>3782 397552 9245</t>
  </si>
  <si>
    <t>0631</t>
  </si>
  <si>
    <t>04371310095</t>
  </si>
  <si>
    <t>Gustavo Cardoso Mendes</t>
  </si>
  <si>
    <t>4576 7460 1253 5968</t>
  </si>
  <si>
    <t>0632</t>
  </si>
  <si>
    <t>77762889426</t>
  </si>
  <si>
    <t>Bruno Moura Cardoso</t>
  </si>
  <si>
    <t>3782 711684 7069</t>
  </si>
  <si>
    <t>3782 583583 3863</t>
  </si>
  <si>
    <t>0633</t>
  </si>
  <si>
    <t>39710901508</t>
  </si>
  <si>
    <t>Carolina Moreira Monteiro</t>
  </si>
  <si>
    <t>6505 0666 7396 7553</t>
  </si>
  <si>
    <t>0634</t>
  </si>
  <si>
    <t>06567449365</t>
  </si>
  <si>
    <t>Leandro Monteiro</t>
  </si>
  <si>
    <t>4576 7460 1924 2030</t>
  </si>
  <si>
    <t>0635</t>
  </si>
  <si>
    <t>59059437535</t>
  </si>
  <si>
    <t>Camila Barbosa Carvalho</t>
  </si>
  <si>
    <t>3782 949344 1737</t>
  </si>
  <si>
    <t>3782 908884 6357</t>
  </si>
  <si>
    <t>0636</t>
  </si>
  <si>
    <t>53356088203</t>
  </si>
  <si>
    <t>Carolina Castro</t>
  </si>
  <si>
    <t>4576 7460 7619 3326</t>
  </si>
  <si>
    <t>4576 7460 3956 1721</t>
  </si>
  <si>
    <t>0637</t>
  </si>
  <si>
    <t>68674222927</t>
  </si>
  <si>
    <t>Alexandre Mendes Vieira</t>
  </si>
  <si>
    <t>4576 7460 1664 5940</t>
  </si>
  <si>
    <t>4576 7460 9342 3855</t>
  </si>
  <si>
    <t>0638</t>
  </si>
  <si>
    <t>59927572956</t>
  </si>
  <si>
    <t>Sabrina Cardoso Alves</t>
  </si>
  <si>
    <t>4576 7460 4930 4473</t>
  </si>
  <si>
    <t>4576 7460 5500 6545</t>
  </si>
  <si>
    <t>0639</t>
  </si>
  <si>
    <t>55333551707</t>
  </si>
  <si>
    <t>Camila Carvalho Araujo</t>
  </si>
  <si>
    <t>6505 0666 2131 4831</t>
  </si>
  <si>
    <t>6505 0666 7908 7278</t>
  </si>
  <si>
    <t>0640</t>
  </si>
  <si>
    <t>94181224309</t>
  </si>
  <si>
    <t>Aline Dias</t>
  </si>
  <si>
    <t>5442 7460 9273 3308</t>
  </si>
  <si>
    <t>0641</t>
  </si>
  <si>
    <t>67060533508</t>
  </si>
  <si>
    <t>Gustavo Freitas</t>
  </si>
  <si>
    <t>3782 857055 6988</t>
  </si>
  <si>
    <t>0642</t>
  </si>
  <si>
    <t>19381035059</t>
  </si>
  <si>
    <t>Matheus Campos Vieira</t>
  </si>
  <si>
    <t>6062 8200 8769 9690</t>
  </si>
  <si>
    <t>0643</t>
  </si>
  <si>
    <t>37393915375</t>
  </si>
  <si>
    <t>Vinicius Cavalcanti Ribeiro</t>
  </si>
  <si>
    <t>3782 762836 9395</t>
  </si>
  <si>
    <t>0644</t>
  </si>
  <si>
    <t>42439593400</t>
  </si>
  <si>
    <t>Leonardo Fernandes Teixeira</t>
  </si>
  <si>
    <t>4576 7460 1152 1301</t>
  </si>
  <si>
    <t>4576 7460 5917 0908</t>
  </si>
  <si>
    <t>0645</t>
  </si>
  <si>
    <t>77215701239</t>
  </si>
  <si>
    <t>Debora Martins</t>
  </si>
  <si>
    <t>3782 374797 4865</t>
  </si>
  <si>
    <t>0646</t>
  </si>
  <si>
    <t>20987058916</t>
  </si>
  <si>
    <t>Aline Campos Freitas</t>
  </si>
  <si>
    <t>3782 466616 8938</t>
  </si>
  <si>
    <t>0647</t>
  </si>
  <si>
    <t>33445872775</t>
  </si>
  <si>
    <t>Felipe Cavalcanti Pinto</t>
  </si>
  <si>
    <t>6062 8200 6029 0516</t>
  </si>
  <si>
    <t>0648</t>
  </si>
  <si>
    <t>57874112857</t>
  </si>
  <si>
    <t>Gabriela Lima</t>
  </si>
  <si>
    <t>5442 7460 1928 8050</t>
  </si>
  <si>
    <t>0649</t>
  </si>
  <si>
    <t>54458229583</t>
  </si>
  <si>
    <t>Felipe Moura Pereira</t>
  </si>
  <si>
    <t>3782 644270 2971</t>
  </si>
  <si>
    <t>0650</t>
  </si>
  <si>
    <t>42801524468</t>
  </si>
  <si>
    <t>Larissa Lima Souza</t>
  </si>
  <si>
    <t>6505 0666 2116 3195</t>
  </si>
  <si>
    <t>6505 0666 4844 7679</t>
  </si>
  <si>
    <t>0651</t>
  </si>
  <si>
    <t>73156870927</t>
  </si>
  <si>
    <t>Bianca Moreira</t>
  </si>
  <si>
    <t>6062 8200 7395 2458</t>
  </si>
  <si>
    <t>0652</t>
  </si>
  <si>
    <t>36804378709</t>
  </si>
  <si>
    <t>Rodrigo Pinto</t>
  </si>
  <si>
    <t>5442 7460 5700 8680</t>
  </si>
  <si>
    <t>0653</t>
  </si>
  <si>
    <t>19953946108</t>
  </si>
  <si>
    <t>Gustavo Pereira</t>
  </si>
  <si>
    <t>4576 7460 3681 5550</t>
  </si>
  <si>
    <t>0654</t>
  </si>
  <si>
    <t>66010742412</t>
  </si>
  <si>
    <t>Caio Borges</t>
  </si>
  <si>
    <t>5442 7460 1243 8372</t>
  </si>
  <si>
    <t>0655</t>
  </si>
  <si>
    <t>72685841725</t>
  </si>
  <si>
    <t>Marcos Cavalcanti</t>
  </si>
  <si>
    <t>5442 7460 1411 1565</t>
  </si>
  <si>
    <t>0656</t>
  </si>
  <si>
    <t>71337412295</t>
  </si>
  <si>
    <t>Amanda Cardoso</t>
  </si>
  <si>
    <t>3782 229068 5626</t>
  </si>
  <si>
    <t>0657</t>
  </si>
  <si>
    <t>87708235618</t>
  </si>
  <si>
    <t>Fabio Teixeira</t>
  </si>
  <si>
    <t>3782 977389 8121</t>
  </si>
  <si>
    <t>0658</t>
  </si>
  <si>
    <t>65457596478</t>
  </si>
  <si>
    <t>Bianca Freitas Moura</t>
  </si>
  <si>
    <t>5442 7460 4435 9067</t>
  </si>
  <si>
    <t>0659</t>
  </si>
  <si>
    <t>35718242372</t>
  </si>
  <si>
    <t>Leonardo Santos</t>
  </si>
  <si>
    <t>6062 8200 2712 8988</t>
  </si>
  <si>
    <t>6062 8200 7538 4787</t>
  </si>
  <si>
    <t>0660</t>
  </si>
  <si>
    <t>10299972844</t>
  </si>
  <si>
    <t>Camila Rocha Campos</t>
  </si>
  <si>
    <t>4576 7460 2028 7824</t>
  </si>
  <si>
    <t>0661</t>
  </si>
  <si>
    <t>95600801211</t>
  </si>
  <si>
    <t>Tatiane Oliveira Nunes</t>
  </si>
  <si>
    <t>5442 7460 8750 1856</t>
  </si>
  <si>
    <t>0662</t>
  </si>
  <si>
    <t>94737966924</t>
  </si>
  <si>
    <t>Aline Pereira Almeida</t>
  </si>
  <si>
    <t>6505 0666 1028 7316</t>
  </si>
  <si>
    <t>0663</t>
  </si>
  <si>
    <t>17175312105</t>
  </si>
  <si>
    <t>Jessica Silva</t>
  </si>
  <si>
    <t>3782 785739 4525</t>
  </si>
  <si>
    <t>0664</t>
  </si>
  <si>
    <t>29213857837</t>
  </si>
  <si>
    <t>Vivian Silva Martins</t>
  </si>
  <si>
    <t>6062 8200 7416 8579</t>
  </si>
  <si>
    <t>6062 8200 5420 0759</t>
  </si>
  <si>
    <t>0665</t>
  </si>
  <si>
    <t>02351678273</t>
  </si>
  <si>
    <t>Priscila Rocha Fernandes</t>
  </si>
  <si>
    <t>3782 336353 2446</t>
  </si>
  <si>
    <t>0666</t>
  </si>
  <si>
    <t>66008441400</t>
  </si>
  <si>
    <t>Leandro Martins Pereira</t>
  </si>
  <si>
    <t>4576 7460 1232 7064</t>
  </si>
  <si>
    <t>0667</t>
  </si>
  <si>
    <t>32409821707</t>
  </si>
  <si>
    <t>Lucas Santos Gomes</t>
  </si>
  <si>
    <t>6505 0666 2861 5274</t>
  </si>
  <si>
    <t>6505 0666 4219 9406</t>
  </si>
  <si>
    <t>0668</t>
  </si>
  <si>
    <t>93119384240</t>
  </si>
  <si>
    <t>4576 7460 2975 6352</t>
  </si>
  <si>
    <t>0669</t>
  </si>
  <si>
    <t>52761557808</t>
  </si>
  <si>
    <t>Matheus Nascimento Barros</t>
  </si>
  <si>
    <t>3782 134081 4152</t>
  </si>
  <si>
    <t>0670</t>
  </si>
  <si>
    <t>53055961900</t>
  </si>
  <si>
    <t>Rodrigo Cardoso Moreira</t>
  </si>
  <si>
    <t>6505 0666 4481 3053</t>
  </si>
  <si>
    <t>0671</t>
  </si>
  <si>
    <t>28855831267</t>
  </si>
  <si>
    <t>Renato Fernandes Silva</t>
  </si>
  <si>
    <t>6505 0666 4125 9194</t>
  </si>
  <si>
    <t>6505 0666 4475 9131</t>
  </si>
  <si>
    <t>0672</t>
  </si>
  <si>
    <t>60142789402</t>
  </si>
  <si>
    <t>Gustavo Monteiro Gomes</t>
  </si>
  <si>
    <t>4576 7460 5124 6709</t>
  </si>
  <si>
    <t>0673</t>
  </si>
  <si>
    <t>93147593851</t>
  </si>
  <si>
    <t>Vanessa Barros</t>
  </si>
  <si>
    <t>3782 855598 0224</t>
  </si>
  <si>
    <t>0674</t>
  </si>
  <si>
    <t>40413138216</t>
  </si>
  <si>
    <t>Vivian Lima Barros</t>
  </si>
  <si>
    <t>3782 366403 7030</t>
  </si>
  <si>
    <t>0675</t>
  </si>
  <si>
    <t>85552935705</t>
  </si>
  <si>
    <t>Leticia Souza</t>
  </si>
  <si>
    <t>5442 7460 2105 1537</t>
  </si>
  <si>
    <t>0676</t>
  </si>
  <si>
    <t>02898880507</t>
  </si>
  <si>
    <t>Jessica Vieira Barbosa</t>
  </si>
  <si>
    <t>5442 7460 6331 3215</t>
  </si>
  <si>
    <t>5442 7460 6855 6403</t>
  </si>
  <si>
    <t>0677</t>
  </si>
  <si>
    <t>53910503837</t>
  </si>
  <si>
    <t>Fernanda Cavalcanti</t>
  </si>
  <si>
    <t>6505 0666 7791 1239</t>
  </si>
  <si>
    <t>6505 0666 6100 4213</t>
  </si>
  <si>
    <t>0678</t>
  </si>
  <si>
    <t>85377706390</t>
  </si>
  <si>
    <t>Caio Pereira Oliveira</t>
  </si>
  <si>
    <t>6062 8200 5643 7561</t>
  </si>
  <si>
    <t>0679</t>
  </si>
  <si>
    <t>53495243569</t>
  </si>
  <si>
    <t>Fabio Barbosa Cavalcanti</t>
  </si>
  <si>
    <t>3782 331308 8927</t>
  </si>
  <si>
    <t>0680</t>
  </si>
  <si>
    <t>59168168632</t>
  </si>
  <si>
    <t>Camila Araujo</t>
  </si>
  <si>
    <t>6062 8200 1202 1786</t>
  </si>
  <si>
    <t>0681</t>
  </si>
  <si>
    <t>96610717303</t>
  </si>
  <si>
    <t>Amanda Ribeiro Oliveira</t>
  </si>
  <si>
    <t>3782 143668 7762</t>
  </si>
  <si>
    <t>0682</t>
  </si>
  <si>
    <t>54110995957</t>
  </si>
  <si>
    <t>Carolina Pinto Almeida</t>
  </si>
  <si>
    <t>4576 7460 9464 0052</t>
  </si>
  <si>
    <t>0683</t>
  </si>
  <si>
    <t>82050750340</t>
  </si>
  <si>
    <t>Vivian Oliveira Barbosa</t>
  </si>
  <si>
    <t>6062 8200 9150 3549</t>
  </si>
  <si>
    <t>0684</t>
  </si>
  <si>
    <t>50402990609</t>
  </si>
  <si>
    <t>Gabriela Moura Lima</t>
  </si>
  <si>
    <t>6062 8200 8729 5260</t>
  </si>
  <si>
    <t>0685</t>
  </si>
  <si>
    <t>23978876060</t>
  </si>
  <si>
    <t>Jessica Martins Gomes</t>
  </si>
  <si>
    <t>6062 8200 1442 8707</t>
  </si>
  <si>
    <t>0686</t>
  </si>
  <si>
    <t>57868049502</t>
  </si>
  <si>
    <t>Thiago Costa Campos</t>
  </si>
  <si>
    <t>6505 0666 2568 6817</t>
  </si>
  <si>
    <t>0687</t>
  </si>
  <si>
    <t>52366020848</t>
  </si>
  <si>
    <t>6062 8200 8182 4494</t>
  </si>
  <si>
    <t>0688</t>
  </si>
  <si>
    <t>48827116133</t>
  </si>
  <si>
    <t>Carolina Oliveira Gomes</t>
  </si>
  <si>
    <t>3782 180627 7818</t>
  </si>
  <si>
    <t>0689</t>
  </si>
  <si>
    <t>47889408846</t>
  </si>
  <si>
    <t>Renato Cavalcanti</t>
  </si>
  <si>
    <t>4576 7460 7872 9320</t>
  </si>
  <si>
    <t>0690</t>
  </si>
  <si>
    <t>84446387650</t>
  </si>
  <si>
    <t>Guilherme Lima</t>
  </si>
  <si>
    <t>4576 7460 2368 6220</t>
  </si>
  <si>
    <t>0691</t>
  </si>
  <si>
    <t>97568997006</t>
  </si>
  <si>
    <t>Carolina Silva</t>
  </si>
  <si>
    <t>5442 7460 7279 4484</t>
  </si>
  <si>
    <t>0692</t>
  </si>
  <si>
    <t>13437161873</t>
  </si>
  <si>
    <t>Jessica Barbosa Costa</t>
  </si>
  <si>
    <t>3782 211989 7222</t>
  </si>
  <si>
    <t>3782 839016 8258</t>
  </si>
  <si>
    <t>0693</t>
  </si>
  <si>
    <t>06606920310</t>
  </si>
  <si>
    <t>Danilo Carvalho Gomes</t>
  </si>
  <si>
    <t>6505 0666 4839 3394</t>
  </si>
  <si>
    <t>6505 0666 9148 7409</t>
  </si>
  <si>
    <t>0694</t>
  </si>
  <si>
    <t>52965228187</t>
  </si>
  <si>
    <t>Vivian Rocha Vieira</t>
  </si>
  <si>
    <t>4576 7460 8986 9884</t>
  </si>
  <si>
    <t>4576 7460 8705 7229</t>
  </si>
  <si>
    <t>0695</t>
  </si>
  <si>
    <t>40357726901</t>
  </si>
  <si>
    <t>Fabio Moura</t>
  </si>
  <si>
    <t>5442 7460 5998 8425</t>
  </si>
  <si>
    <t>0696</t>
  </si>
  <si>
    <t>23790874400</t>
  </si>
  <si>
    <t>Beatriz Vieira Dias</t>
  </si>
  <si>
    <t>4576 7460 1893 0834</t>
  </si>
  <si>
    <t>4576 7460 1043 2483</t>
  </si>
  <si>
    <t>0697</t>
  </si>
  <si>
    <t>09993741680</t>
  </si>
  <si>
    <t>Fabio Pinto Nascimento</t>
  </si>
  <si>
    <t>6505 0666 4039 0485</t>
  </si>
  <si>
    <t>0698</t>
  </si>
  <si>
    <t>08281029536</t>
  </si>
  <si>
    <t>Carolina Oliveira</t>
  </si>
  <si>
    <t>4576 7460 5625 6624</t>
  </si>
  <si>
    <t>0699</t>
  </si>
  <si>
    <t>78246324403</t>
  </si>
  <si>
    <t>Danilo Santos Araujo</t>
  </si>
  <si>
    <t>4576 7460 4125 0572</t>
  </si>
  <si>
    <t>4576 7460 3504 7683</t>
  </si>
  <si>
    <t>0700</t>
  </si>
  <si>
    <t>01827653345</t>
  </si>
  <si>
    <t>Mariana Oliveira Fernandes</t>
  </si>
  <si>
    <t>3782 337448 2631</t>
  </si>
  <si>
    <t>0701</t>
  </si>
  <si>
    <t>29230275239</t>
  </si>
  <si>
    <t>Leandro Oliveira Nascimento</t>
  </si>
  <si>
    <t>5442 7460 5342 3352</t>
  </si>
  <si>
    <t>5442 7460 1086 2579</t>
  </si>
  <si>
    <t>0702</t>
  </si>
  <si>
    <t>17974911131</t>
  </si>
  <si>
    <t>Gustavo Vieira</t>
  </si>
  <si>
    <t>4576 7460 4799 5735</t>
  </si>
  <si>
    <t>0703</t>
  </si>
  <si>
    <t>03177015848</t>
  </si>
  <si>
    <t>Renata Castro Freitas</t>
  </si>
  <si>
    <t>6505 0666 7248 2502</t>
  </si>
  <si>
    <t>0704</t>
  </si>
  <si>
    <t>81249532361</t>
  </si>
  <si>
    <t>Fernanda Moura Nunes</t>
  </si>
  <si>
    <t>5442 7460 9017 2783</t>
  </si>
  <si>
    <t>0705</t>
  </si>
  <si>
    <t>24125265160</t>
  </si>
  <si>
    <t>Marcos Almeida</t>
  </si>
  <si>
    <t>6505 0666 8478 9064</t>
  </si>
  <si>
    <t>0706</t>
  </si>
  <si>
    <t>36405752887</t>
  </si>
  <si>
    <t>Fabio Ribeiro Santos</t>
  </si>
  <si>
    <t>6505 0666 2384 4725</t>
  </si>
  <si>
    <t>6505 0666 1692 8198</t>
  </si>
  <si>
    <t>0707</t>
  </si>
  <si>
    <t>74656084735</t>
  </si>
  <si>
    <t>Beatriz Santos</t>
  </si>
  <si>
    <t>6062 8200 8034 2562</t>
  </si>
  <si>
    <t>6062 8200 1521 9137</t>
  </si>
  <si>
    <t>0708</t>
  </si>
  <si>
    <t>66642838246</t>
  </si>
  <si>
    <t>Larissa Vieira Moreira</t>
  </si>
  <si>
    <t>6062 8200 8739 2650</t>
  </si>
  <si>
    <t>0709</t>
  </si>
  <si>
    <t>73922459021</t>
  </si>
  <si>
    <t>Mariana Freitas</t>
  </si>
  <si>
    <t>6062 8200 7195 5862</t>
  </si>
  <si>
    <t>0710</t>
  </si>
  <si>
    <t>90168504570</t>
  </si>
  <si>
    <t>Juliana Barbosa</t>
  </si>
  <si>
    <t>5442 7460 5037 4924</t>
  </si>
  <si>
    <t>5442 7460 2429 2278</t>
  </si>
  <si>
    <t>0711</t>
  </si>
  <si>
    <t>06892290973</t>
  </si>
  <si>
    <t>Eduardo Santos Nascimento</t>
  </si>
  <si>
    <t>5442 7460 2400 5115</t>
  </si>
  <si>
    <t>0712</t>
  </si>
  <si>
    <t>74872985745</t>
  </si>
  <si>
    <t>Caio Barros</t>
  </si>
  <si>
    <t>4576 7460 7250 4894</t>
  </si>
  <si>
    <t>0713</t>
  </si>
  <si>
    <t>33616947367</t>
  </si>
  <si>
    <t>Caio Almeida</t>
  </si>
  <si>
    <t>5442 7460 6019 3471</t>
  </si>
  <si>
    <t>0714</t>
  </si>
  <si>
    <t>53167090120</t>
  </si>
  <si>
    <t>Thiago Dias Carvalho</t>
  </si>
  <si>
    <t>4576 7460 6593 1257</t>
  </si>
  <si>
    <t>4576 7460 8620 3900</t>
  </si>
  <si>
    <t>0715</t>
  </si>
  <si>
    <t>53954655020</t>
  </si>
  <si>
    <t>Andre Borges Ribeiro</t>
  </si>
  <si>
    <t>6062 8200 8379 6200</t>
  </si>
  <si>
    <t>6062 8200 1490 8806</t>
  </si>
  <si>
    <t>0716</t>
  </si>
  <si>
    <t>35101471208</t>
  </si>
  <si>
    <t>Bruno Freitas</t>
  </si>
  <si>
    <t>3782 161532 0472</t>
  </si>
  <si>
    <t>0717</t>
  </si>
  <si>
    <t>61334016720</t>
  </si>
  <si>
    <t>Jessica Carvalho Lima</t>
  </si>
  <si>
    <t>4576 7460 7255 8066</t>
  </si>
  <si>
    <t>0718</t>
  </si>
  <si>
    <t>59146816429</t>
  </si>
  <si>
    <t>Isabela Araujo Cavalcanti</t>
  </si>
  <si>
    <t>5442 7460 5603 9530</t>
  </si>
  <si>
    <t>0719</t>
  </si>
  <si>
    <t>58845963322</t>
  </si>
  <si>
    <t>Gabriel Fernandes Nascimento</t>
  </si>
  <si>
    <t>5442 7460 9337 4694</t>
  </si>
  <si>
    <t>5442 7460 8681 9435</t>
  </si>
  <si>
    <t>0720</t>
  </si>
  <si>
    <t>94618280476</t>
  </si>
  <si>
    <t>Rafael Nunes</t>
  </si>
  <si>
    <t>3782 186310 6676</t>
  </si>
  <si>
    <t>3782 360184 8265</t>
  </si>
  <si>
    <t>0721</t>
  </si>
  <si>
    <t>42228758990</t>
  </si>
  <si>
    <t>Tatiane Mendes Rocha</t>
  </si>
  <si>
    <t>5442 7460 9697 0464</t>
  </si>
  <si>
    <t>5442 7460 8420 3136</t>
  </si>
  <si>
    <t>0722</t>
  </si>
  <si>
    <t>80654103321</t>
  </si>
  <si>
    <t>Amanda Ribeiro Pinto</t>
  </si>
  <si>
    <t>5442 7460 8237 2511</t>
  </si>
  <si>
    <t>0723</t>
  </si>
  <si>
    <t>04705395859</t>
  </si>
  <si>
    <t>Priscila Pinto Castro</t>
  </si>
  <si>
    <t>3782 411780 2890</t>
  </si>
  <si>
    <t>0724</t>
  </si>
  <si>
    <t>47245812209</t>
  </si>
  <si>
    <t>Andre Cavalcanti Alves</t>
  </si>
  <si>
    <t>3782 734768 8007</t>
  </si>
  <si>
    <t>0725</t>
  </si>
  <si>
    <t>20622917366</t>
  </si>
  <si>
    <t>Marcelo Campos Carvalho</t>
  </si>
  <si>
    <t>6505 0666 8952 3576</t>
  </si>
  <si>
    <t>0726</t>
  </si>
  <si>
    <t>10875742777</t>
  </si>
  <si>
    <t>Sabrina Ribeiro Moura</t>
  </si>
  <si>
    <t>5442 7460 6953 4009</t>
  </si>
  <si>
    <t>0727</t>
  </si>
  <si>
    <t>51836968612</t>
  </si>
  <si>
    <t>Guilherme Pinto Costa</t>
  </si>
  <si>
    <t>6062 8200 4380 9512</t>
  </si>
  <si>
    <t>6062 8200 7594 9700</t>
  </si>
  <si>
    <t>0728</t>
  </si>
  <si>
    <t>46386337905</t>
  </si>
  <si>
    <t>Marcelo Rodrigues Cavalcanti</t>
  </si>
  <si>
    <t>4576 7460 7968 8840</t>
  </si>
  <si>
    <t>4576 7460 8695 5629</t>
  </si>
  <si>
    <t>0729</t>
  </si>
  <si>
    <t>94196243070</t>
  </si>
  <si>
    <t>Juliana Barbosa Mendes</t>
  </si>
  <si>
    <t>5442 7460 9931 8773</t>
  </si>
  <si>
    <t>0730</t>
  </si>
  <si>
    <t>09928308691</t>
  </si>
  <si>
    <t>Marcelo Oliveira Ribeiro</t>
  </si>
  <si>
    <t>6062 8200 9972 8687</t>
  </si>
  <si>
    <t>0731</t>
  </si>
  <si>
    <t>72226255508</t>
  </si>
  <si>
    <t>Thiago Cavalcanti Oliveira</t>
  </si>
  <si>
    <t>4576 7460 8956 1086</t>
  </si>
  <si>
    <t>0732</t>
  </si>
  <si>
    <t>66720557033</t>
  </si>
  <si>
    <t>Rafael Costa Cardoso</t>
  </si>
  <si>
    <t>6505 0666 9408 2032</t>
  </si>
  <si>
    <t>0733</t>
  </si>
  <si>
    <t>59722709860</t>
  </si>
  <si>
    <t>Bruno Pinto Monteiro</t>
  </si>
  <si>
    <t>5442 7460 5822 7426</t>
  </si>
  <si>
    <t>5442 7460 7608 5856</t>
  </si>
  <si>
    <t>0734</t>
  </si>
  <si>
    <t>50088152022</t>
  </si>
  <si>
    <t>Bruno Nascimento</t>
  </si>
  <si>
    <t>6505 0666 5980 5137</t>
  </si>
  <si>
    <t>0735</t>
  </si>
  <si>
    <t>84562141166</t>
  </si>
  <si>
    <t>Thiago Vieira</t>
  </si>
  <si>
    <t>6062 8200 7597 1807</t>
  </si>
  <si>
    <t>0736</t>
  </si>
  <si>
    <t>52818083036</t>
  </si>
  <si>
    <t>Fernanda Castro Almeida</t>
  </si>
  <si>
    <t>5442 7460 7248 1894</t>
  </si>
  <si>
    <t>5442 7460 7181 7945</t>
  </si>
  <si>
    <t>0737</t>
  </si>
  <si>
    <t>00751606413</t>
  </si>
  <si>
    <t>Leonardo Dias Carvalho</t>
  </si>
  <si>
    <t>6062 8200 7186 0733</t>
  </si>
  <si>
    <t>0738</t>
  </si>
  <si>
    <t>97879465499</t>
  </si>
  <si>
    <t>Mariana Campos</t>
  </si>
  <si>
    <t>6505 0666 2570 2102</t>
  </si>
  <si>
    <t>0739</t>
  </si>
  <si>
    <t>96440538772</t>
  </si>
  <si>
    <t>Mariana Lima</t>
  </si>
  <si>
    <t>3782 621369 4180</t>
  </si>
  <si>
    <t>3782 415957 5468</t>
  </si>
  <si>
    <t>0740</t>
  </si>
  <si>
    <t>49145433895</t>
  </si>
  <si>
    <t>Gabriela Castro Cardoso</t>
  </si>
  <si>
    <t>6505 0666 2198 1870</t>
  </si>
  <si>
    <t>0741</t>
  </si>
  <si>
    <t>44833187728</t>
  </si>
  <si>
    <t>Mariana Barbosa Pereira</t>
  </si>
  <si>
    <t>6062 8200 4607 1076</t>
  </si>
  <si>
    <t>0742</t>
  </si>
  <si>
    <t>64071628588</t>
  </si>
  <si>
    <t>Vinicius Nunes Campos</t>
  </si>
  <si>
    <t>3782 555476 4686</t>
  </si>
  <si>
    <t>0743</t>
  </si>
  <si>
    <t>02052416706</t>
  </si>
  <si>
    <t>Gabriela Silva Nunes</t>
  </si>
  <si>
    <t>6062 8200 4028 1105</t>
  </si>
  <si>
    <t>0744</t>
  </si>
  <si>
    <t>59807192706</t>
  </si>
  <si>
    <t>Caio Nunes Dias</t>
  </si>
  <si>
    <t>6062 8200 7419 3490</t>
  </si>
  <si>
    <t>0745</t>
  </si>
  <si>
    <t>68396263930</t>
  </si>
  <si>
    <t>5442 7460 5901 5045</t>
  </si>
  <si>
    <t>0746</t>
  </si>
  <si>
    <t>70492704902</t>
  </si>
  <si>
    <t>Thiago Pinto Lima</t>
  </si>
  <si>
    <t>5442 7460 3285 5696</t>
  </si>
  <si>
    <t>0747</t>
  </si>
  <si>
    <t>24275693132</t>
  </si>
  <si>
    <t>Diego Castro</t>
  </si>
  <si>
    <t>3782 417199 4678</t>
  </si>
  <si>
    <t>0748</t>
  </si>
  <si>
    <t>51102917567</t>
  </si>
  <si>
    <t>Leonardo Alves Barbosa</t>
  </si>
  <si>
    <t>3782 314331 2867</t>
  </si>
  <si>
    <t>3782 622947 6821</t>
  </si>
  <si>
    <t>0749</t>
  </si>
  <si>
    <t>00914250183</t>
  </si>
  <si>
    <t>Lucas Mendes Borges</t>
  </si>
  <si>
    <t>6062 8200 1485 3909</t>
  </si>
  <si>
    <t>0750</t>
  </si>
  <si>
    <t>79661708452</t>
  </si>
  <si>
    <t>Danilo Barros Cardoso</t>
  </si>
  <si>
    <t>5442 7460 6909 8083</t>
  </si>
  <si>
    <t>5442 7460 2677 5448</t>
  </si>
  <si>
    <t>0751</t>
  </si>
  <si>
    <t>99303514262</t>
  </si>
  <si>
    <t>Mariana Lima Dias</t>
  </si>
  <si>
    <t>6505 0666 8549 9350</t>
  </si>
  <si>
    <t>0752</t>
  </si>
  <si>
    <t>56282001315</t>
  </si>
  <si>
    <t>Patricia Rocha Borges</t>
  </si>
  <si>
    <t>3782 616855 4900</t>
  </si>
  <si>
    <t>0753</t>
  </si>
  <si>
    <t>55502699706</t>
  </si>
  <si>
    <t>Priscila Cardoso Oliveira</t>
  </si>
  <si>
    <t>6505 0666 9002 1723</t>
  </si>
  <si>
    <t>0754</t>
  </si>
  <si>
    <t>51969856386</t>
  </si>
  <si>
    <t>Aline Carvalho Souza</t>
  </si>
  <si>
    <t>6062 8200 5261 3847</t>
  </si>
  <si>
    <t>6062 8200 1488 2479</t>
  </si>
  <si>
    <t>0755</t>
  </si>
  <si>
    <t>01254572007</t>
  </si>
  <si>
    <t>Guilherme Moreira Costa</t>
  </si>
  <si>
    <t>6062 8200 3479 1885</t>
  </si>
  <si>
    <t>0756</t>
  </si>
  <si>
    <t>43490440358</t>
  </si>
  <si>
    <t>Vinicius Nunes</t>
  </si>
  <si>
    <t>3782 886626 3952</t>
  </si>
  <si>
    <t>3782 854870 0676</t>
  </si>
  <si>
    <t>0757</t>
  </si>
  <si>
    <t>70428937780</t>
  </si>
  <si>
    <t>Lucas Barros</t>
  </si>
  <si>
    <t>5442 7460 9335 3625</t>
  </si>
  <si>
    <t>0758</t>
  </si>
  <si>
    <t>93229676769</t>
  </si>
  <si>
    <t>Alexandre Mendes Oliveira</t>
  </si>
  <si>
    <t>3782 541298 5624</t>
  </si>
  <si>
    <t>0759</t>
  </si>
  <si>
    <t>26993139553</t>
  </si>
  <si>
    <t>Isabela Carvalho</t>
  </si>
  <si>
    <t>6062 8200 4631 6028</t>
  </si>
  <si>
    <t>6062 8200 9857 6601</t>
  </si>
  <si>
    <t>0760</t>
  </si>
  <si>
    <t>51523665505</t>
  </si>
  <si>
    <t>Leticia Pinto Alves</t>
  </si>
  <si>
    <t>4576 7460 1044 2410</t>
  </si>
  <si>
    <t>0761</t>
  </si>
  <si>
    <t>62256618595</t>
  </si>
  <si>
    <t>Gabriel Campos Barros</t>
  </si>
  <si>
    <t>3782 294093 1387</t>
  </si>
  <si>
    <t>0762</t>
  </si>
  <si>
    <t>49733368318</t>
  </si>
  <si>
    <t>Gustavo Carvalho</t>
  </si>
  <si>
    <t>5442 7460 1594 6274</t>
  </si>
  <si>
    <t>0763</t>
  </si>
  <si>
    <t>72953634088</t>
  </si>
  <si>
    <t>Debora Carvalho Cardoso</t>
  </si>
  <si>
    <t>4576 7460 1875 4306</t>
  </si>
  <si>
    <t>0764</t>
  </si>
  <si>
    <t>80562594655</t>
  </si>
  <si>
    <t>Danilo Barros Moura</t>
  </si>
  <si>
    <t>5442 7460 3435 1793</t>
  </si>
  <si>
    <t>0765</t>
  </si>
  <si>
    <t>67228922395</t>
  </si>
  <si>
    <t>Gustavo Oliveira Gomes</t>
  </si>
  <si>
    <t>5442 7460 8339 8060</t>
  </si>
  <si>
    <t>0766</t>
  </si>
  <si>
    <t>22151564142</t>
  </si>
  <si>
    <t>Mariana Santos</t>
  </si>
  <si>
    <t>6505 0666 3909 6818</t>
  </si>
  <si>
    <t>0767</t>
  </si>
  <si>
    <t>55895217427</t>
  </si>
  <si>
    <t>Debora Monteiro</t>
  </si>
  <si>
    <t>6505 0666 4228 1103</t>
  </si>
  <si>
    <t>0768</t>
  </si>
  <si>
    <t>07744253507</t>
  </si>
  <si>
    <t>3782 929293 5840</t>
  </si>
  <si>
    <t>0769</t>
  </si>
  <si>
    <t>28376837605</t>
  </si>
  <si>
    <t>Carolina Teixeira Freitas</t>
  </si>
  <si>
    <t>3782 651755 4452</t>
  </si>
  <si>
    <t>0770</t>
  </si>
  <si>
    <t>98787625644</t>
  </si>
  <si>
    <t>Vinicius Castro</t>
  </si>
  <si>
    <t>6062 8200 9852 1217</t>
  </si>
  <si>
    <t>0771</t>
  </si>
  <si>
    <t>28690599223</t>
  </si>
  <si>
    <t>Juliana Rodrigues Pereira</t>
  </si>
  <si>
    <t>6505 0666 2032 3226</t>
  </si>
  <si>
    <t>0772</t>
  </si>
  <si>
    <t>90948890304</t>
  </si>
  <si>
    <t>Fabio Monteiro</t>
  </si>
  <si>
    <t>3782 797662 5698</t>
  </si>
  <si>
    <t>0773</t>
  </si>
  <si>
    <t>07943169212</t>
  </si>
  <si>
    <t>Rodrigo Freitas Souza</t>
  </si>
  <si>
    <t>6062 8200 7689 8575</t>
  </si>
  <si>
    <t>0774</t>
  </si>
  <si>
    <t>74478551626</t>
  </si>
  <si>
    <t>Eduardo Rodrigues</t>
  </si>
  <si>
    <t>6505 0666 1927 0601</t>
  </si>
  <si>
    <t>6505 0666 1651 7326</t>
  </si>
  <si>
    <t>0775</t>
  </si>
  <si>
    <t>04122522609</t>
  </si>
  <si>
    <t>Marcelo Pinto</t>
  </si>
  <si>
    <t>6505 0666 6756 2822</t>
  </si>
  <si>
    <t>0776</t>
  </si>
  <si>
    <t>49302811808</t>
  </si>
  <si>
    <t>Rafael Barbosa Campos</t>
  </si>
  <si>
    <t>4576 7460 7182 7360</t>
  </si>
  <si>
    <t>4576 7460 2204 8214</t>
  </si>
  <si>
    <t>0777</t>
  </si>
  <si>
    <t>79640889393</t>
  </si>
  <si>
    <t>Danilo Cavalcanti Nunes</t>
  </si>
  <si>
    <t>4576 7460 1478 2945</t>
  </si>
  <si>
    <t>0778</t>
  </si>
  <si>
    <t>96112604400</t>
  </si>
  <si>
    <t>Thiago Ribeiro Nunes</t>
  </si>
  <si>
    <t>4576 7460 9951 0475</t>
  </si>
  <si>
    <t>0779</t>
  </si>
  <si>
    <t>98566615875</t>
  </si>
  <si>
    <t>Camila Moura Freitas</t>
  </si>
  <si>
    <t>6505 0666 5727 5802</t>
  </si>
  <si>
    <t>0780</t>
  </si>
  <si>
    <t>91476150362</t>
  </si>
  <si>
    <t>Amanda Barros</t>
  </si>
  <si>
    <t>6505 0666 7040 8240</t>
  </si>
  <si>
    <t>6505 0666 8856 8104</t>
  </si>
  <si>
    <t>0781</t>
  </si>
  <si>
    <t>65363085909</t>
  </si>
  <si>
    <t>Carolina Dias</t>
  </si>
  <si>
    <t>6062 8200 9422 6725</t>
  </si>
  <si>
    <t>0782</t>
  </si>
  <si>
    <t>13056957478</t>
  </si>
  <si>
    <t>Guilherme Cardoso</t>
  </si>
  <si>
    <t>3782 152496 6389</t>
  </si>
  <si>
    <t>0783</t>
  </si>
  <si>
    <t>19758551752</t>
  </si>
  <si>
    <t>Carolina Silva Moura</t>
  </si>
  <si>
    <t>6062 8200 5075 9235</t>
  </si>
  <si>
    <t>0784</t>
  </si>
  <si>
    <t>37142562617</t>
  </si>
  <si>
    <t>Debora Castro Monteiro</t>
  </si>
  <si>
    <t>6505 0666 2036 4121</t>
  </si>
  <si>
    <t>0785</t>
  </si>
  <si>
    <t>05461641105</t>
  </si>
  <si>
    <t>Fabio Castro Costa</t>
  </si>
  <si>
    <t>5442 7460 9275 9154</t>
  </si>
  <si>
    <t>0786</t>
  </si>
  <si>
    <t>89949685044</t>
  </si>
  <si>
    <t>Vanessa Fernandes Nascimento</t>
  </si>
  <si>
    <t>3782 127550 6599</t>
  </si>
  <si>
    <t>3782 600700 5257</t>
  </si>
  <si>
    <t>0787</t>
  </si>
  <si>
    <t>24570659500</t>
  </si>
  <si>
    <t>Leonardo Mendes Souza</t>
  </si>
  <si>
    <t>3782 914874 8108</t>
  </si>
  <si>
    <t>3782 652345 8796</t>
  </si>
  <si>
    <t>0788</t>
  </si>
  <si>
    <t>53850222179</t>
  </si>
  <si>
    <t>Amanda Vieira Pereira</t>
  </si>
  <si>
    <t>6505 0666 6411 8976</t>
  </si>
  <si>
    <t>0789</t>
  </si>
  <si>
    <t>12906207845</t>
  </si>
  <si>
    <t>Amanda Lima Monteiro</t>
  </si>
  <si>
    <t>6505 0666 8104 7752</t>
  </si>
  <si>
    <t>0790</t>
  </si>
  <si>
    <t>08269468282</t>
  </si>
  <si>
    <t>Felipe Rocha Oliveira</t>
  </si>
  <si>
    <t>6062 8200 8812 8900</t>
  </si>
  <si>
    <t>0791</t>
  </si>
  <si>
    <t>21991564945</t>
  </si>
  <si>
    <t>Gustavo Rodrigues</t>
  </si>
  <si>
    <t>6505 0666 6874 4291</t>
  </si>
  <si>
    <t>6505 0666 7723 1275</t>
  </si>
  <si>
    <t>0792</t>
  </si>
  <si>
    <t>17144667106</t>
  </si>
  <si>
    <t>Priscila Rocha Araujo</t>
  </si>
  <si>
    <t>3782 231178 1491</t>
  </si>
  <si>
    <t>0793</t>
  </si>
  <si>
    <t>55013381304</t>
  </si>
  <si>
    <t>Fabio Araujo Lima</t>
  </si>
  <si>
    <t>6505 0666 6232 4530</t>
  </si>
  <si>
    <t>0794</t>
  </si>
  <si>
    <t>51044043156</t>
  </si>
  <si>
    <t>Leticia Pinto Pereira</t>
  </si>
  <si>
    <t>3782 308444 3441</t>
  </si>
  <si>
    <t>0795</t>
  </si>
  <si>
    <t>16184353454</t>
  </si>
  <si>
    <t>Matheus Campos Gomes</t>
  </si>
  <si>
    <t>6062 8200 9766 2860</t>
  </si>
  <si>
    <t>0796</t>
  </si>
  <si>
    <t>30093904320</t>
  </si>
  <si>
    <t>Vivian Rocha Pinto</t>
  </si>
  <si>
    <t>5442 7460 5432 2829</t>
  </si>
  <si>
    <t>0797</t>
  </si>
  <si>
    <t>48894465918</t>
  </si>
  <si>
    <t>Vinicius Pereira Almeida</t>
  </si>
  <si>
    <t>3782 352534 6182</t>
  </si>
  <si>
    <t>0798</t>
  </si>
  <si>
    <t>77314785562</t>
  </si>
  <si>
    <t>Gustavo Martins Gomes</t>
  </si>
  <si>
    <t>6062 8200 9357 8959</t>
  </si>
  <si>
    <t>0799</t>
  </si>
  <si>
    <t>40120963973</t>
  </si>
  <si>
    <t>Debora Cavalcanti Freitas</t>
  </si>
  <si>
    <t>6062 8200 9125 1937</t>
  </si>
  <si>
    <t>6062 8200 2213 2164</t>
  </si>
  <si>
    <t>0800</t>
  </si>
  <si>
    <t>46956968789</t>
  </si>
  <si>
    <t>Jessica Alves</t>
  </si>
  <si>
    <t>4576 7460 2029 2746</t>
  </si>
  <si>
    <t>0801</t>
  </si>
  <si>
    <t>59474065438</t>
  </si>
  <si>
    <t>Sabrina Mendes</t>
  </si>
  <si>
    <t>5442 7460 3013 1735</t>
  </si>
  <si>
    <t>5442 7460 9417 7713</t>
  </si>
  <si>
    <t>0802</t>
  </si>
  <si>
    <t>86691690532</t>
  </si>
  <si>
    <t>5442 7460 3182 0593</t>
  </si>
  <si>
    <t>0803</t>
  </si>
  <si>
    <t>74776266920</t>
  </si>
  <si>
    <t>Aline Santos Nunes</t>
  </si>
  <si>
    <t>6505 0666 8224 0681</t>
  </si>
  <si>
    <t>0804</t>
  </si>
  <si>
    <t>51877171387</t>
  </si>
  <si>
    <t>Vanessa Freitas Cavalcanti</t>
  </si>
  <si>
    <t>5442 7460 3663 4543</t>
  </si>
  <si>
    <t>0805</t>
  </si>
  <si>
    <t>87164119279</t>
  </si>
  <si>
    <t>Carolina Costa Monteiro</t>
  </si>
  <si>
    <t>4576 7460 3393 0281</t>
  </si>
  <si>
    <t>0806</t>
  </si>
  <si>
    <t>07650339769</t>
  </si>
  <si>
    <t>Priscila Alves Monteiro</t>
  </si>
  <si>
    <t>5442 7460 6373 8688</t>
  </si>
  <si>
    <t>5442 7460 8440 3530</t>
  </si>
  <si>
    <t>0807</t>
  </si>
  <si>
    <t>38772944803</t>
  </si>
  <si>
    <t>Patricia Ribeiro Freitas</t>
  </si>
  <si>
    <t>6062 8200 8443 4433</t>
  </si>
  <si>
    <t>6062 8200 8084 7366</t>
  </si>
  <si>
    <t>0808</t>
  </si>
  <si>
    <t>18565483843</t>
  </si>
  <si>
    <t>Isabela Lima Alves</t>
  </si>
  <si>
    <t>3782 509027 7968</t>
  </si>
  <si>
    <t>0809</t>
  </si>
  <si>
    <t>87858733141</t>
  </si>
  <si>
    <t>Eduardo Almeida Martins</t>
  </si>
  <si>
    <t>3782 794833 4928</t>
  </si>
  <si>
    <t>3782 657225 6110</t>
  </si>
  <si>
    <t>0810</t>
  </si>
  <si>
    <t>11904659810</t>
  </si>
  <si>
    <t>Matheus Barros</t>
  </si>
  <si>
    <t>5442 7460 1800 0691</t>
  </si>
  <si>
    <t>0811</t>
  </si>
  <si>
    <t>03489530209</t>
  </si>
  <si>
    <t>Marcelo Gomes Ribeiro</t>
  </si>
  <si>
    <t>3782 602182 7640</t>
  </si>
  <si>
    <t>3782 483230 9211</t>
  </si>
  <si>
    <t>0812</t>
  </si>
  <si>
    <t>76570021745</t>
  </si>
  <si>
    <t>Amanda Cardoso Silva</t>
  </si>
  <si>
    <t>5442 7460 2332 8581</t>
  </si>
  <si>
    <t>0813</t>
  </si>
  <si>
    <t>47426048810</t>
  </si>
  <si>
    <t>Debora Nunes</t>
  </si>
  <si>
    <t>4576 7460 7815 9345</t>
  </si>
  <si>
    <t>0814</t>
  </si>
  <si>
    <t>27559718604</t>
  </si>
  <si>
    <t>Bianca Santos</t>
  </si>
  <si>
    <t>5442 7460 9619 1668</t>
  </si>
  <si>
    <t>0815</t>
  </si>
  <si>
    <t>78347549206</t>
  </si>
  <si>
    <t>Eduardo Nascimento</t>
  </si>
  <si>
    <t>4576 7460 4541 6017</t>
  </si>
  <si>
    <t>0816</t>
  </si>
  <si>
    <t>03098375965</t>
  </si>
  <si>
    <t>Bianca Silva Fernandes</t>
  </si>
  <si>
    <t>5442 7460 1690 6638</t>
  </si>
  <si>
    <t>0817</t>
  </si>
  <si>
    <t>81645989682</t>
  </si>
  <si>
    <t>Vivian Carvalho</t>
  </si>
  <si>
    <t>6062 8200 6501 8927</t>
  </si>
  <si>
    <t>0818</t>
  </si>
  <si>
    <t>23969258901</t>
  </si>
  <si>
    <t>Alexandre Teixeira Dias</t>
  </si>
  <si>
    <t>6505 0666 4698 1200</t>
  </si>
  <si>
    <t>0819</t>
  </si>
  <si>
    <t>71477745408</t>
  </si>
  <si>
    <t>Caio Moura</t>
  </si>
  <si>
    <t>3782 318779 5743</t>
  </si>
  <si>
    <t>0820</t>
  </si>
  <si>
    <t>92971464300</t>
  </si>
  <si>
    <t>Camila Nascimento Almeida</t>
  </si>
  <si>
    <t>6062 8200 5899 7720</t>
  </si>
  <si>
    <t>6062 8200 6564 6598</t>
  </si>
  <si>
    <t>0821</t>
  </si>
  <si>
    <t>63804480128</t>
  </si>
  <si>
    <t>Beatriz Martins</t>
  </si>
  <si>
    <t>4576 7460 1302 8600</t>
  </si>
  <si>
    <t>0822</t>
  </si>
  <si>
    <t>94890736522</t>
  </si>
  <si>
    <t>Leticia Freitas</t>
  </si>
  <si>
    <t>4576 7460 7320 9767</t>
  </si>
  <si>
    <t>0823</t>
  </si>
  <si>
    <t>01766628710</t>
  </si>
  <si>
    <t>Marcos Moura Freitas</t>
  </si>
  <si>
    <t>6062 8200 3923 8787</t>
  </si>
  <si>
    <t>0824</t>
  </si>
  <si>
    <t>76876815501</t>
  </si>
  <si>
    <t>Amanda Campos</t>
  </si>
  <si>
    <t>5442 7460 6557 2449</t>
  </si>
  <si>
    <t>5442 7460 3543 9562</t>
  </si>
  <si>
    <t>0825</t>
  </si>
  <si>
    <t>93269482850</t>
  </si>
  <si>
    <t>Marcos Vieira Carvalho</t>
  </si>
  <si>
    <t>4576 7460 1146 7392</t>
  </si>
  <si>
    <t>4576 7460 2585 9621</t>
  </si>
  <si>
    <t>0826</t>
  </si>
  <si>
    <t>28239789331</t>
  </si>
  <si>
    <t>Mariana Gomes Pereira</t>
  </si>
  <si>
    <t>6062 8200 5780 3899</t>
  </si>
  <si>
    <t>0827</t>
  </si>
  <si>
    <t>46282119812</t>
  </si>
  <si>
    <t>Carolina Rocha Mendes</t>
  </si>
  <si>
    <t>3782 963963 9071</t>
  </si>
  <si>
    <t>0828</t>
  </si>
  <si>
    <t>59983280000</t>
  </si>
  <si>
    <t>Caio Pinto</t>
  </si>
  <si>
    <t>4576 7460 7006 8789</t>
  </si>
  <si>
    <t>0829</t>
  </si>
  <si>
    <t>79482316681</t>
  </si>
  <si>
    <t>Renata Moura</t>
  </si>
  <si>
    <t>3782 633766 6224</t>
  </si>
  <si>
    <t>3782 762950 4764</t>
  </si>
  <si>
    <t>0830</t>
  </si>
  <si>
    <t>00311995004</t>
  </si>
  <si>
    <t>Fabio Almeida Monteiro</t>
  </si>
  <si>
    <t>4576 7460 5678 6241</t>
  </si>
  <si>
    <t>4576 7460 1151 2924</t>
  </si>
  <si>
    <t>0831</t>
  </si>
  <si>
    <t>14771328056</t>
  </si>
  <si>
    <t>Guilherme Rodrigues Monteiro</t>
  </si>
  <si>
    <t>4576 7460 2789 9609</t>
  </si>
  <si>
    <t>4576 7460 6222 2054</t>
  </si>
  <si>
    <t>0832</t>
  </si>
  <si>
    <t>21939934753</t>
  </si>
  <si>
    <t>Renata Cardoso</t>
  </si>
  <si>
    <t>4576 7460 1163 7096</t>
  </si>
  <si>
    <t>0833</t>
  </si>
  <si>
    <t>59072013980</t>
  </si>
  <si>
    <t>5442 7460 4268 6301</t>
  </si>
  <si>
    <t>0834</t>
  </si>
  <si>
    <t>66301486145</t>
  </si>
  <si>
    <t>Felipe Costa Cardoso</t>
  </si>
  <si>
    <t>5442 7460 5420 4620</t>
  </si>
  <si>
    <t>0835</t>
  </si>
  <si>
    <t>99453252484</t>
  </si>
  <si>
    <t>Bianca Almeida Moreira</t>
  </si>
  <si>
    <t>6505 0666 6557 4823</t>
  </si>
  <si>
    <t>0836</t>
  </si>
  <si>
    <t>84238578678</t>
  </si>
  <si>
    <t>Debora Borges</t>
  </si>
  <si>
    <t>6505 0666 6514 6269</t>
  </si>
  <si>
    <t>0837</t>
  </si>
  <si>
    <t>35936238547</t>
  </si>
  <si>
    <t>Renato Almeida Campos</t>
  </si>
  <si>
    <t>6505 0666 5187 5567</t>
  </si>
  <si>
    <t>0838</t>
  </si>
  <si>
    <t>38201875028</t>
  </si>
  <si>
    <t>4576 7460 4453 4834</t>
  </si>
  <si>
    <t>0839</t>
  </si>
  <si>
    <t>80190304332</t>
  </si>
  <si>
    <t>Gabriela Fernandes Nunes</t>
  </si>
  <si>
    <t>6505 0666 8660 6722</t>
  </si>
  <si>
    <t>0840</t>
  </si>
  <si>
    <t>66449756071</t>
  </si>
  <si>
    <t>Carolina Nunes Lima</t>
  </si>
  <si>
    <t>6062 8200 8532 5004</t>
  </si>
  <si>
    <t>6062 8200 4405 2354</t>
  </si>
  <si>
    <t>0841</t>
  </si>
  <si>
    <t>93075629626</t>
  </si>
  <si>
    <t>Rodrigo Oliveira Borges</t>
  </si>
  <si>
    <t>6062 8200 9700 7534</t>
  </si>
  <si>
    <t>0842</t>
  </si>
  <si>
    <t>02383658677</t>
  </si>
  <si>
    <t>Tatiane Pinto Nunes</t>
  </si>
  <si>
    <t>6062 8200 2462 1374</t>
  </si>
  <si>
    <t>6062 8200 4701 6347</t>
  </si>
  <si>
    <t>0843</t>
  </si>
  <si>
    <t>91706706766</t>
  </si>
  <si>
    <t>Beatriz Pereira Araujo</t>
  </si>
  <si>
    <t>5442 7460 5234 3956</t>
  </si>
  <si>
    <t>0844</t>
  </si>
  <si>
    <t>24202514580</t>
  </si>
  <si>
    <t>Eduardo Nascimento Costa</t>
  </si>
  <si>
    <t>5442 7460 5974 7045</t>
  </si>
  <si>
    <t>0845</t>
  </si>
  <si>
    <t>83104811873</t>
  </si>
  <si>
    <t>Vanessa Cavalcanti Teixeira</t>
  </si>
  <si>
    <t>4576 7460 8959 8172</t>
  </si>
  <si>
    <t>4576 7460 7915 0772</t>
  </si>
  <si>
    <t>0846</t>
  </si>
  <si>
    <t>79346297964</t>
  </si>
  <si>
    <t>3782 797476 4155</t>
  </si>
  <si>
    <t>0847</t>
  </si>
  <si>
    <t>99084383109</t>
  </si>
  <si>
    <t>Priscila Fernandes</t>
  </si>
  <si>
    <t>5442 7460 2098 1011</t>
  </si>
  <si>
    <t>0848</t>
  </si>
  <si>
    <t>98443557702</t>
  </si>
  <si>
    <t>Gabriel Alves Pereira</t>
  </si>
  <si>
    <t>6505 0666 9989 3578</t>
  </si>
  <si>
    <t>0849</t>
  </si>
  <si>
    <t>26837910116</t>
  </si>
  <si>
    <t>Diego Vieira Campos</t>
  </si>
  <si>
    <t>6062 8200 8478 0490</t>
  </si>
  <si>
    <t>0850</t>
  </si>
  <si>
    <t>52833815107</t>
  </si>
  <si>
    <t>Juliana Rocha Nascimento</t>
  </si>
  <si>
    <t>5442 7460 6052 4816</t>
  </si>
  <si>
    <t>0851</t>
  </si>
  <si>
    <t>35401696523</t>
  </si>
  <si>
    <t>Caio Ribeiro Santos</t>
  </si>
  <si>
    <t>5442 7460 9712 4329</t>
  </si>
  <si>
    <t>0852</t>
  </si>
  <si>
    <t>46518451505</t>
  </si>
  <si>
    <t>Rodrigo Silva Souza</t>
  </si>
  <si>
    <t>5442 7460 3000 3560</t>
  </si>
  <si>
    <t>0853</t>
  </si>
  <si>
    <t>17847895188</t>
  </si>
  <si>
    <t>Eduardo Vieira Castro</t>
  </si>
  <si>
    <t>6505 0666 9971 2563</t>
  </si>
  <si>
    <t>0854</t>
  </si>
  <si>
    <t>22779184906</t>
  </si>
  <si>
    <t>Alexandre Mendes Dias</t>
  </si>
  <si>
    <t>4576 7460 8614 7209</t>
  </si>
  <si>
    <t>0855</t>
  </si>
  <si>
    <t>93496307102</t>
  </si>
  <si>
    <t>Mariana Castro</t>
  </si>
  <si>
    <t>6505 0666 1103 5511</t>
  </si>
  <si>
    <t>0856</t>
  </si>
  <si>
    <t>91584403489</t>
  </si>
  <si>
    <t>Alexandre Pinto Lima</t>
  </si>
  <si>
    <t>3782 364562 8271</t>
  </si>
  <si>
    <t>3782 645299 6081</t>
  </si>
  <si>
    <t>0857</t>
  </si>
  <si>
    <t>87655645884</t>
  </si>
  <si>
    <t>Bruno Dias Barbosa</t>
  </si>
  <si>
    <t>4576 7460 1438 6737</t>
  </si>
  <si>
    <t>0858</t>
  </si>
  <si>
    <t>46654576039</t>
  </si>
  <si>
    <t>Gustavo Pereira Almeida</t>
  </si>
  <si>
    <t>4576 7460 8495 7511</t>
  </si>
  <si>
    <t>4576 7460 6550 0867</t>
  </si>
  <si>
    <t>0859</t>
  </si>
  <si>
    <t>74057400575</t>
  </si>
  <si>
    <t>Rodrigo Costa Dias</t>
  </si>
  <si>
    <t>6062 8200 8248 3502</t>
  </si>
  <si>
    <t>6062 8200 8722 5574</t>
  </si>
  <si>
    <t>0860</t>
  </si>
  <si>
    <t>24169591232</t>
  </si>
  <si>
    <t>Carolina Campos Carvalho</t>
  </si>
  <si>
    <t>4576 7460 1939 2531</t>
  </si>
  <si>
    <t>0861</t>
  </si>
  <si>
    <t>11648499805</t>
  </si>
  <si>
    <t>Carolina Pinto Campos</t>
  </si>
  <si>
    <t>6505 0666 5593 4970</t>
  </si>
  <si>
    <t>0862</t>
  </si>
  <si>
    <t>71522757260</t>
  </si>
  <si>
    <t>Larissa Moreira</t>
  </si>
  <si>
    <t>4576 7460 8927 9488</t>
  </si>
  <si>
    <t>0863</t>
  </si>
  <si>
    <t>30353435511</t>
  </si>
  <si>
    <t>Gustavo Costa Nunes</t>
  </si>
  <si>
    <t>5442 7460 7022 1565</t>
  </si>
  <si>
    <t>0864</t>
  </si>
  <si>
    <t>79784148412</t>
  </si>
  <si>
    <t>Bianca Campos</t>
  </si>
  <si>
    <t>4576 7460 6362 6784</t>
  </si>
  <si>
    <t>0865</t>
  </si>
  <si>
    <t>97641919596</t>
  </si>
  <si>
    <t>Gabriel Alves Dias</t>
  </si>
  <si>
    <t>4576 7460 4133 2156</t>
  </si>
  <si>
    <t>0866</t>
  </si>
  <si>
    <t>76303715788</t>
  </si>
  <si>
    <t>Leonardo Barros Lima</t>
  </si>
  <si>
    <t>4576 7460 8708 7689</t>
  </si>
  <si>
    <t>0867</t>
  </si>
  <si>
    <t>47405859100</t>
  </si>
  <si>
    <t>Felipe Gomes</t>
  </si>
  <si>
    <t>6505 0666 4377 1789</t>
  </si>
  <si>
    <t>0868</t>
  </si>
  <si>
    <t>21628620340</t>
  </si>
  <si>
    <t>Beatriz Gomes Vieira</t>
  </si>
  <si>
    <t>6505 0666 2552 0104</t>
  </si>
  <si>
    <t>0869</t>
  </si>
  <si>
    <t>21787368238</t>
  </si>
  <si>
    <t>Fabio Pinto</t>
  </si>
  <si>
    <t>3782 785596 4891</t>
  </si>
  <si>
    <t>0870</t>
  </si>
  <si>
    <t>21271633540</t>
  </si>
  <si>
    <t>Aline Gomes</t>
  </si>
  <si>
    <t>4576 7460 2460 0120</t>
  </si>
  <si>
    <t>0871</t>
  </si>
  <si>
    <t>20896338592</t>
  </si>
  <si>
    <t>Isabela Barbosa</t>
  </si>
  <si>
    <t>5442 7460 2138 8390</t>
  </si>
  <si>
    <t>0872</t>
  </si>
  <si>
    <t>79042637005</t>
  </si>
  <si>
    <t>Debora Mendes Barbosa</t>
  </si>
  <si>
    <t>6062 8200 2609 4413</t>
  </si>
  <si>
    <t>0873</t>
  </si>
  <si>
    <t>43278933150</t>
  </si>
  <si>
    <t>Felipe Rodrigues Alves</t>
  </si>
  <si>
    <t>4576 7460 6969 6182</t>
  </si>
  <si>
    <t>0874</t>
  </si>
  <si>
    <t>74713105457</t>
  </si>
  <si>
    <t>Guilherme Alves</t>
  </si>
  <si>
    <t>3782 964035 7573</t>
  </si>
  <si>
    <t>0875</t>
  </si>
  <si>
    <t>06895074538</t>
  </si>
  <si>
    <t>Bianca Teixeira</t>
  </si>
  <si>
    <t>6505 0666 4564 7994</t>
  </si>
  <si>
    <t>0876</t>
  </si>
  <si>
    <t>83600860607</t>
  </si>
  <si>
    <t>Gabriel Fernandes</t>
  </si>
  <si>
    <t>6505 0666 5685 2262</t>
  </si>
  <si>
    <t>0877</t>
  </si>
  <si>
    <t>59162092820</t>
  </si>
  <si>
    <t>Felipe Pereira</t>
  </si>
  <si>
    <t>4576 7460 3198 6184</t>
  </si>
  <si>
    <t>0878</t>
  </si>
  <si>
    <t>07668999000</t>
  </si>
  <si>
    <t>Larissa Martins Santos</t>
  </si>
  <si>
    <t>5442 7460 7330 0854</t>
  </si>
  <si>
    <t>5442 7460 9139 5188</t>
  </si>
  <si>
    <t>0879</t>
  </si>
  <si>
    <t>93083350309</t>
  </si>
  <si>
    <t>Matheus Lima Vieira</t>
  </si>
  <si>
    <t>6505 0666 9932 2301</t>
  </si>
  <si>
    <t>0880</t>
  </si>
  <si>
    <t>78505003691</t>
  </si>
  <si>
    <t>Gabriela Martins Dias</t>
  </si>
  <si>
    <t>6505 0666 4487 2375</t>
  </si>
  <si>
    <t>6505 0666 2952 6896</t>
  </si>
  <si>
    <t>0881</t>
  </si>
  <si>
    <t>61849141703</t>
  </si>
  <si>
    <t>Amanda Teixeira Lima</t>
  </si>
  <si>
    <t>5442 7460 4010 2041</t>
  </si>
  <si>
    <t>5442 7460 7868 1891</t>
  </si>
  <si>
    <t>0882</t>
  </si>
  <si>
    <t>46021037669</t>
  </si>
  <si>
    <t>Gabriela Castro Freitas</t>
  </si>
  <si>
    <t>6505 0666 1116 9006</t>
  </si>
  <si>
    <t>0883</t>
  </si>
  <si>
    <t>15106680980</t>
  </si>
  <si>
    <t>Carolina Barbosa Moura</t>
  </si>
  <si>
    <t>5442 7460 6165 9152</t>
  </si>
  <si>
    <t>5442 7460 4175 8150</t>
  </si>
  <si>
    <t>0884</t>
  </si>
  <si>
    <t>04688251181</t>
  </si>
  <si>
    <t>Matheus Vieira</t>
  </si>
  <si>
    <t>5442 7460 8741 8923</t>
  </si>
  <si>
    <t>0885</t>
  </si>
  <si>
    <t>57674516725</t>
  </si>
  <si>
    <t>Priscila Teixeira Monteiro</t>
  </si>
  <si>
    <t>6062 8200 9351 1855</t>
  </si>
  <si>
    <t>6062 8200 1682 5118</t>
  </si>
  <si>
    <t>0886</t>
  </si>
  <si>
    <t>34668666181</t>
  </si>
  <si>
    <t>3782 184431 6028</t>
  </si>
  <si>
    <t>3782 123478 2990</t>
  </si>
  <si>
    <t>0887</t>
  </si>
  <si>
    <t>26648901829</t>
  </si>
  <si>
    <t>Lucas Nascimento</t>
  </si>
  <si>
    <t>5442 7460 7435 0412</t>
  </si>
  <si>
    <t>0888</t>
  </si>
  <si>
    <t>49970344102</t>
  </si>
  <si>
    <t>3782 764201 4694</t>
  </si>
  <si>
    <t>3782 283566 3583</t>
  </si>
  <si>
    <t>0889</t>
  </si>
  <si>
    <t>67802633389</t>
  </si>
  <si>
    <t>Juliana Nunes</t>
  </si>
  <si>
    <t>6505 0666 8800 8233</t>
  </si>
  <si>
    <t>0890</t>
  </si>
  <si>
    <t>25652744405</t>
  </si>
  <si>
    <t>Vivian Moura Vieira</t>
  </si>
  <si>
    <t>6505 0666 6218 2654</t>
  </si>
  <si>
    <t>0891</t>
  </si>
  <si>
    <t>52917629851</t>
  </si>
  <si>
    <t>Aline Santos Araujo</t>
  </si>
  <si>
    <t>6505 0666 1579 1431</t>
  </si>
  <si>
    <t>0892</t>
  </si>
  <si>
    <t>29275669252</t>
  </si>
  <si>
    <t>Leonardo Pinto Borges</t>
  </si>
  <si>
    <t>5442 7460 8007 2592</t>
  </si>
  <si>
    <t>0893</t>
  </si>
  <si>
    <t>17340104445</t>
  </si>
  <si>
    <t>4576 7460 5726 0282</t>
  </si>
  <si>
    <t>0894</t>
  </si>
  <si>
    <t>90462710645</t>
  </si>
  <si>
    <t>Rafael Barros Santos</t>
  </si>
  <si>
    <t>6062 8200 7653 3236</t>
  </si>
  <si>
    <t>0895</t>
  </si>
  <si>
    <t>21714768180</t>
  </si>
  <si>
    <t>Priscila Martins Castro</t>
  </si>
  <si>
    <t>6505 0666 2577 1798</t>
  </si>
  <si>
    <t>0896</t>
  </si>
  <si>
    <t>33618433590</t>
  </si>
  <si>
    <t>Rafael Dias Gomes</t>
  </si>
  <si>
    <t>6062 8200 4174 9436</t>
  </si>
  <si>
    <t>0897</t>
  </si>
  <si>
    <t>68404043230</t>
  </si>
  <si>
    <t>Diego Monteiro</t>
  </si>
  <si>
    <t>3782 829859 2546</t>
  </si>
  <si>
    <t>0898</t>
  </si>
  <si>
    <t>14091727670</t>
  </si>
  <si>
    <t>Renato Pinto Monteiro</t>
  </si>
  <si>
    <t>6062 8200 4000 2590</t>
  </si>
  <si>
    <t>0899</t>
  </si>
  <si>
    <t>99592623759</t>
  </si>
  <si>
    <t>Leonardo Cavalcanti</t>
  </si>
  <si>
    <t>6505 0666 1504 2264</t>
  </si>
  <si>
    <t>0900</t>
  </si>
  <si>
    <t>77287427109</t>
  </si>
  <si>
    <t>Vivian Borges</t>
  </si>
  <si>
    <t>6062 8200 6608 6265</t>
  </si>
  <si>
    <t>0901</t>
  </si>
  <si>
    <t>73071928530</t>
  </si>
  <si>
    <t>Gabriela Alves Vieira</t>
  </si>
  <si>
    <t>3782 830250 5485</t>
  </si>
  <si>
    <t>0902</t>
  </si>
  <si>
    <t>83473257311</t>
  </si>
  <si>
    <t>Guilherme Araujo Barros</t>
  </si>
  <si>
    <t>5442 7460 7913 5195</t>
  </si>
  <si>
    <t>0903</t>
  </si>
  <si>
    <t>94338323531</t>
  </si>
  <si>
    <t>Rodrigo Vieira</t>
  </si>
  <si>
    <t>6505 0666 2042 2854</t>
  </si>
  <si>
    <t>0904</t>
  </si>
  <si>
    <t>37616930360</t>
  </si>
  <si>
    <t>Vivian Gomes Ribeiro</t>
  </si>
  <si>
    <t>3782 749453 5650</t>
  </si>
  <si>
    <t>0905</t>
  </si>
  <si>
    <t>73121972804</t>
  </si>
  <si>
    <t>Marcos Barbosa</t>
  </si>
  <si>
    <t>4576 7460 6477 6985</t>
  </si>
  <si>
    <t>0906</t>
  </si>
  <si>
    <t>60507823770</t>
  </si>
  <si>
    <t>Vivian Gomes Cardoso</t>
  </si>
  <si>
    <t>5442 7460 2007 1024</t>
  </si>
  <si>
    <t>5442 7460 9694 3078</t>
  </si>
  <si>
    <t>0907</t>
  </si>
  <si>
    <t>25160491961</t>
  </si>
  <si>
    <t>Renato Lima</t>
  </si>
  <si>
    <t>3782 904254 8280</t>
  </si>
  <si>
    <t>3782 538991 4765</t>
  </si>
  <si>
    <t>0908</t>
  </si>
  <si>
    <t>23576204717</t>
  </si>
  <si>
    <t>Alexandre Alves Pereira</t>
  </si>
  <si>
    <t>4576 7460 6849 5118</t>
  </si>
  <si>
    <t>4576 7460 7603 5114</t>
  </si>
  <si>
    <t>0909</t>
  </si>
  <si>
    <t>11993171959</t>
  </si>
  <si>
    <t>Caio Nascimento</t>
  </si>
  <si>
    <t>4576 7460 9385 6677</t>
  </si>
  <si>
    <t>0910</t>
  </si>
  <si>
    <t>74145478410</t>
  </si>
  <si>
    <t>Thiago Lima Dias</t>
  </si>
  <si>
    <t>4576 7460 3425 0648</t>
  </si>
  <si>
    <t>4576 7460 4488 5523</t>
  </si>
  <si>
    <t>0911</t>
  </si>
  <si>
    <t>38595174903</t>
  </si>
  <si>
    <t>Lucas Rocha Pereira</t>
  </si>
  <si>
    <t>6505 0666 9471 3147</t>
  </si>
  <si>
    <t>6505 0666 5977 3832</t>
  </si>
  <si>
    <t>0912</t>
  </si>
  <si>
    <t>82791589791</t>
  </si>
  <si>
    <t>Bianca Vieira Nunes</t>
  </si>
  <si>
    <t>5442 7460 6248 6663</t>
  </si>
  <si>
    <t>0913</t>
  </si>
  <si>
    <t>05198183342</t>
  </si>
  <si>
    <t>Tatiane Campos Dias</t>
  </si>
  <si>
    <t>4576 7460 7486 1706</t>
  </si>
  <si>
    <t>4576 7460 4673 7387</t>
  </si>
  <si>
    <t>0914</t>
  </si>
  <si>
    <t>48455289678</t>
  </si>
  <si>
    <t>Patricia Borges Rodrigues</t>
  </si>
  <si>
    <t>5442 7460 1266 5839</t>
  </si>
  <si>
    <t>0915</t>
  </si>
  <si>
    <t>48133676312</t>
  </si>
  <si>
    <t>Thiago Nascimento</t>
  </si>
  <si>
    <t>4576 7460 4829 8332</t>
  </si>
  <si>
    <t>4576 7460 8012 1183</t>
  </si>
  <si>
    <t>0916</t>
  </si>
  <si>
    <t>40706702972</t>
  </si>
  <si>
    <t>Renato Moura Mendes</t>
  </si>
  <si>
    <t>4576 7460 9161 7374</t>
  </si>
  <si>
    <t>0917</t>
  </si>
  <si>
    <t>06506988193</t>
  </si>
  <si>
    <t>Carolina Alves Ribeiro</t>
  </si>
  <si>
    <t>3782 819329 3591</t>
  </si>
  <si>
    <t>3782 837060 2129</t>
  </si>
  <si>
    <t>0918</t>
  </si>
  <si>
    <t>01048768830</t>
  </si>
  <si>
    <t>Diego Cavalcanti Rocha</t>
  </si>
  <si>
    <t>6505 0666 2877 8610</t>
  </si>
  <si>
    <t>0919</t>
  </si>
  <si>
    <t>88129926253</t>
  </si>
  <si>
    <t>Carolina Mendes</t>
  </si>
  <si>
    <t>5442 7460 5332 4247</t>
  </si>
  <si>
    <t>5442 7460 4840 7823</t>
  </si>
  <si>
    <t>0920</t>
  </si>
  <si>
    <t>69877541874</t>
  </si>
  <si>
    <t>Juliana Monteiro</t>
  </si>
  <si>
    <t>4576 7460 7109 8792</t>
  </si>
  <si>
    <t>0921</t>
  </si>
  <si>
    <t>81162006587</t>
  </si>
  <si>
    <t>Gabriela Rodrigues Freitas</t>
  </si>
  <si>
    <t>4576 7460 9320 9770</t>
  </si>
  <si>
    <t>0922</t>
  </si>
  <si>
    <t>20874994977</t>
  </si>
  <si>
    <t>Andre Cardoso</t>
  </si>
  <si>
    <t>6062 8200 4651 8493</t>
  </si>
  <si>
    <t>0923</t>
  </si>
  <si>
    <t>98330280551</t>
  </si>
  <si>
    <t>Marcelo Castro Monteiro</t>
  </si>
  <si>
    <t>4576 7460 8279 5193</t>
  </si>
  <si>
    <t>0924</t>
  </si>
  <si>
    <t>79600520267</t>
  </si>
  <si>
    <t>Thiago Borges Dias</t>
  </si>
  <si>
    <t>6062 8200 9681 3332</t>
  </si>
  <si>
    <t>0925</t>
  </si>
  <si>
    <t>92712225040</t>
  </si>
  <si>
    <t>Vivian Castro</t>
  </si>
  <si>
    <t>6505 0666 4619 1171</t>
  </si>
  <si>
    <t>6505 0666 6314 1180</t>
  </si>
  <si>
    <t>0926</t>
  </si>
  <si>
    <t>76813157051</t>
  </si>
  <si>
    <t>Marcos Araujo Moreira</t>
  </si>
  <si>
    <t>3782 924225 4909</t>
  </si>
  <si>
    <t>0927</t>
  </si>
  <si>
    <t>46112322714</t>
  </si>
  <si>
    <t>Gustavo Pinto</t>
  </si>
  <si>
    <t>3782 180926 3912</t>
  </si>
  <si>
    <t>3782 591755 1579</t>
  </si>
  <si>
    <t>0928</t>
  </si>
  <si>
    <t>75706448086</t>
  </si>
  <si>
    <t>Marcelo Moreira Araujo</t>
  </si>
  <si>
    <t>4576 7460 2820 7141</t>
  </si>
  <si>
    <t>4576 7460 7989 1830</t>
  </si>
  <si>
    <t>0929</t>
  </si>
  <si>
    <t>51308293100</t>
  </si>
  <si>
    <t>Marcos Cavalcanti Almeida</t>
  </si>
  <si>
    <t>4576 7460 4780 6687</t>
  </si>
  <si>
    <t>4576 7460 5063 9050</t>
  </si>
  <si>
    <t>0930</t>
  </si>
  <si>
    <t>53123000982</t>
  </si>
  <si>
    <t>Vivian Barbosa Vieira</t>
  </si>
  <si>
    <t>6062 8200 5877 1875</t>
  </si>
  <si>
    <t>6062 8200 6992 5797</t>
  </si>
  <si>
    <t>0931</t>
  </si>
  <si>
    <t>52285247460</t>
  </si>
  <si>
    <t>Rodrigo Cavalcanti</t>
  </si>
  <si>
    <t>3782 174150 7634</t>
  </si>
  <si>
    <t>0932</t>
  </si>
  <si>
    <t>39160905425</t>
  </si>
  <si>
    <t>Bianca Nascimento Monteiro</t>
  </si>
  <si>
    <t>6062 8200 6923 6900</t>
  </si>
  <si>
    <t>0933</t>
  </si>
  <si>
    <t>43052686801</t>
  </si>
  <si>
    <t>Aline Carvalho</t>
  </si>
  <si>
    <t>4576 7460 3001 1299</t>
  </si>
  <si>
    <t>0934</t>
  </si>
  <si>
    <t>32665896885</t>
  </si>
  <si>
    <t>Jessica Almeida Lima</t>
  </si>
  <si>
    <t>3782 861223 8555</t>
  </si>
  <si>
    <t>0935</t>
  </si>
  <si>
    <t>82595103750</t>
  </si>
  <si>
    <t>Eduardo Fernandes Mendes</t>
  </si>
  <si>
    <t>3782 802014 1065</t>
  </si>
  <si>
    <t>3782 381331 4916</t>
  </si>
  <si>
    <t>0936</t>
  </si>
  <si>
    <t>79511861557</t>
  </si>
  <si>
    <t>5442 7460 8543 0652</t>
  </si>
  <si>
    <t>0937</t>
  </si>
  <si>
    <t>20662974298</t>
  </si>
  <si>
    <t>Guilherme Vieira</t>
  </si>
  <si>
    <t>3782 370986 9952</t>
  </si>
  <si>
    <t>0938</t>
  </si>
  <si>
    <t>66211023138</t>
  </si>
  <si>
    <t>Leonardo Rodrigues</t>
  </si>
  <si>
    <t>6062 8200 8577 7973</t>
  </si>
  <si>
    <t>6062 8200 4906 1235</t>
  </si>
  <si>
    <t>0939</t>
  </si>
  <si>
    <t>97726473622</t>
  </si>
  <si>
    <t>Sabrina Barros</t>
  </si>
  <si>
    <t>6062 8200 7582 6653</t>
  </si>
  <si>
    <t>0940</t>
  </si>
  <si>
    <t>00294466860</t>
  </si>
  <si>
    <t>Leandro Rodrigues</t>
  </si>
  <si>
    <t>6505 0666 2708 4057</t>
  </si>
  <si>
    <t>0941</t>
  </si>
  <si>
    <t>73779166720</t>
  </si>
  <si>
    <t>Debora Gomes Martins</t>
  </si>
  <si>
    <t>6062 8200 8129 8019</t>
  </si>
  <si>
    <t>6062 8200 2809 4252</t>
  </si>
  <si>
    <t>0942</t>
  </si>
  <si>
    <t>97124435668</t>
  </si>
  <si>
    <t>Isabela Rodrigues</t>
  </si>
  <si>
    <t>6505 0666 7016 1314</t>
  </si>
  <si>
    <t>6505 0666 8515 6490</t>
  </si>
  <si>
    <t>0943</t>
  </si>
  <si>
    <t>12956513435</t>
  </si>
  <si>
    <t>Diego Souza Teixeira</t>
  </si>
  <si>
    <t>6062 8200 5989 8188</t>
  </si>
  <si>
    <t>0944</t>
  </si>
  <si>
    <t>98847457220</t>
  </si>
  <si>
    <t>Rodrigo Rodrigues Teixeira</t>
  </si>
  <si>
    <t>6062 8200 2432 5481</t>
  </si>
  <si>
    <t>0945</t>
  </si>
  <si>
    <t>39130617030</t>
  </si>
  <si>
    <t>Marcos Lima Nascimento</t>
  </si>
  <si>
    <t>4576 7460 5326 5085</t>
  </si>
  <si>
    <t>0946</t>
  </si>
  <si>
    <t>24644032530</t>
  </si>
  <si>
    <t>Caio Moreira</t>
  </si>
  <si>
    <t>6062 8200 7326 1301</t>
  </si>
  <si>
    <t>0947</t>
  </si>
  <si>
    <t>35838158824</t>
  </si>
  <si>
    <t>Fernanda Vieira Monteiro</t>
  </si>
  <si>
    <t>3782 894570 2642</t>
  </si>
  <si>
    <t>3782 692110 6113</t>
  </si>
  <si>
    <t>0948</t>
  </si>
  <si>
    <t>86787475527</t>
  </si>
  <si>
    <t>Camila Carvalho</t>
  </si>
  <si>
    <t>5442 7460 4949 4935</t>
  </si>
  <si>
    <t>5442 7460 2199 8145</t>
  </si>
  <si>
    <t>0949</t>
  </si>
  <si>
    <t>09553513751</t>
  </si>
  <si>
    <t>Patricia Rocha Lima</t>
  </si>
  <si>
    <t>3782 666305 7579</t>
  </si>
  <si>
    <t>0950</t>
  </si>
  <si>
    <t>29439606916</t>
  </si>
  <si>
    <t>Priscila Moura</t>
  </si>
  <si>
    <t>4576 7460 6652 5576</t>
  </si>
  <si>
    <t>4576 7460 2247 4402</t>
  </si>
  <si>
    <t>0951</t>
  </si>
  <si>
    <t>38294813141</t>
  </si>
  <si>
    <t>Diego Fernandes</t>
  </si>
  <si>
    <t>4576 7460 9002 0784</t>
  </si>
  <si>
    <t>4576 7460 1892 3709</t>
  </si>
  <si>
    <t>0952</t>
  </si>
  <si>
    <t>77812218856</t>
  </si>
  <si>
    <t>Rodrigo Alves</t>
  </si>
  <si>
    <t>4576 7460 2694 6282</t>
  </si>
  <si>
    <t>0953</t>
  </si>
  <si>
    <t>38827979247</t>
  </si>
  <si>
    <t>Isabela Cardoso</t>
  </si>
  <si>
    <t>5442 7460 1860 3575</t>
  </si>
  <si>
    <t>0954</t>
  </si>
  <si>
    <t>00153487259</t>
  </si>
  <si>
    <t>Camila Campos</t>
  </si>
  <si>
    <t>5442 7460 7886 4730</t>
  </si>
  <si>
    <t>0955</t>
  </si>
  <si>
    <t>11800835396</t>
  </si>
  <si>
    <t>Leandro Nascimento Vieira</t>
  </si>
  <si>
    <t>6062 8200 4560 7700</t>
  </si>
  <si>
    <t>0956</t>
  </si>
  <si>
    <t>35917680221</t>
  </si>
  <si>
    <t>Rafael Souza Barros</t>
  </si>
  <si>
    <t>6062 8200 9802 5068</t>
  </si>
  <si>
    <t>0957</t>
  </si>
  <si>
    <t>06958427491</t>
  </si>
  <si>
    <t>Leticia Cardoso Barros</t>
  </si>
  <si>
    <t>3782 845782 6151</t>
  </si>
  <si>
    <t>3782 292350 6031</t>
  </si>
  <si>
    <t>0958</t>
  </si>
  <si>
    <t>44178581104</t>
  </si>
  <si>
    <t>Sabrina Santos</t>
  </si>
  <si>
    <t>6062 8200 9383 9094</t>
  </si>
  <si>
    <t>0959</t>
  </si>
  <si>
    <t>02309717258</t>
  </si>
  <si>
    <t>Renato Pereira Nunes</t>
  </si>
  <si>
    <t>6062 8200 2932 6917</t>
  </si>
  <si>
    <t>0960</t>
  </si>
  <si>
    <t>21475362536</t>
  </si>
  <si>
    <t>Juliana Souza</t>
  </si>
  <si>
    <t>3782 446143 1958</t>
  </si>
  <si>
    <t>0961</t>
  </si>
  <si>
    <t>03473947440</t>
  </si>
  <si>
    <t>Mariana Carvalho</t>
  </si>
  <si>
    <t>4576 7460 8051 8360</t>
  </si>
  <si>
    <t>4576 7460 4269 4378</t>
  </si>
  <si>
    <t>0962</t>
  </si>
  <si>
    <t>51794481583</t>
  </si>
  <si>
    <t>Aline Alves</t>
  </si>
  <si>
    <t>4576 7460 6628 8774</t>
  </si>
  <si>
    <t>0963</t>
  </si>
  <si>
    <t>18159024932</t>
  </si>
  <si>
    <t>Vinicius Moreira Rocha</t>
  </si>
  <si>
    <t>6062 8200 1457 5002</t>
  </si>
  <si>
    <t>0964</t>
  </si>
  <si>
    <t>38275771528</t>
  </si>
  <si>
    <t>Caio Silva Campos</t>
  </si>
  <si>
    <t>4576 7460 8455 4834</t>
  </si>
  <si>
    <t>0965</t>
  </si>
  <si>
    <t>02773226771</t>
  </si>
  <si>
    <t>Bianca Souza Monteiro</t>
  </si>
  <si>
    <t>6505 0666 3448 6464</t>
  </si>
  <si>
    <t>0966</t>
  </si>
  <si>
    <t>48694121794</t>
  </si>
  <si>
    <t>Beatriz Moura Rodrigues</t>
  </si>
  <si>
    <t>4576 7460 6017 5368</t>
  </si>
  <si>
    <t>4576 7460 8683 7828</t>
  </si>
  <si>
    <t>0967</t>
  </si>
  <si>
    <t>62695976259</t>
  </si>
  <si>
    <t>Gustavo Cardoso</t>
  </si>
  <si>
    <t>6505 0666 9755 6401</t>
  </si>
  <si>
    <t>0968</t>
  </si>
  <si>
    <t>10415006880</t>
  </si>
  <si>
    <t>Mariana Oliveira Rodrigues</t>
  </si>
  <si>
    <t>4576 7460 6930 6611</t>
  </si>
  <si>
    <t>0969</t>
  </si>
  <si>
    <t>82671799500</t>
  </si>
  <si>
    <t>Debora Monteiro Fernandes</t>
  </si>
  <si>
    <t>6062 8200 2170 0081</t>
  </si>
  <si>
    <t>6062 8200 2936 1136</t>
  </si>
  <si>
    <t>0970</t>
  </si>
  <si>
    <t>58615104662</t>
  </si>
  <si>
    <t>Vivian Pinto Gomes</t>
  </si>
  <si>
    <t>6062 8200 9373 4670</t>
  </si>
  <si>
    <t>6062 8200 8495 4728</t>
  </si>
  <si>
    <t>0971</t>
  </si>
  <si>
    <t>51507172079</t>
  </si>
  <si>
    <t>Danilo Martins Moura</t>
  </si>
  <si>
    <t>6505 0666 6850 3097</t>
  </si>
  <si>
    <t>6505 0666 2297 3167</t>
  </si>
  <si>
    <t>0972</t>
  </si>
  <si>
    <t>90823576582</t>
  </si>
  <si>
    <t>Carolina Teixeira</t>
  </si>
  <si>
    <t>5442 7460 9972 0048</t>
  </si>
  <si>
    <t>0973</t>
  </si>
  <si>
    <t>91096654717</t>
  </si>
  <si>
    <t>Alexandre Santos</t>
  </si>
  <si>
    <t>5442 7460 7846 5216</t>
  </si>
  <si>
    <t>0974</t>
  </si>
  <si>
    <t>15231905313</t>
  </si>
  <si>
    <t>Vanessa Pinto</t>
  </si>
  <si>
    <t>6062 8200 2996 0995</t>
  </si>
  <si>
    <t>0975</t>
  </si>
  <si>
    <t>01200600274</t>
  </si>
  <si>
    <t>Juliana Oliveira</t>
  </si>
  <si>
    <t>4576 7460 6436 3866</t>
  </si>
  <si>
    <t>4576 7460 6956 1857</t>
  </si>
  <si>
    <t>0976</t>
  </si>
  <si>
    <t>52447299346</t>
  </si>
  <si>
    <t>5442 7460 6317 6488</t>
  </si>
  <si>
    <t>0977</t>
  </si>
  <si>
    <t>05506170351</t>
  </si>
  <si>
    <t>Marcos Pinto Carvalho</t>
  </si>
  <si>
    <t>3782 546722 0422</t>
  </si>
  <si>
    <t>0978</t>
  </si>
  <si>
    <t>91167572203</t>
  </si>
  <si>
    <t>Rafael Santos</t>
  </si>
  <si>
    <t>6062 8200 3841 7936</t>
  </si>
  <si>
    <t>0979</t>
  </si>
  <si>
    <t>30807538876</t>
  </si>
  <si>
    <t>Patricia Monteiro</t>
  </si>
  <si>
    <t>6062 8200 8786 1062</t>
  </si>
  <si>
    <t>0980</t>
  </si>
  <si>
    <t>26520854417</t>
  </si>
  <si>
    <t>Vinicius Barros</t>
  </si>
  <si>
    <t>6505 0666 1022 5065</t>
  </si>
  <si>
    <t>6505 0666 6915 7861</t>
  </si>
  <si>
    <t>0981</t>
  </si>
  <si>
    <t>05945256404</t>
  </si>
  <si>
    <t>Priscila Martins Freitas</t>
  </si>
  <si>
    <t>6505 0666 2802 3690</t>
  </si>
  <si>
    <t>0982</t>
  </si>
  <si>
    <t>77632283773</t>
  </si>
  <si>
    <t>Mariana Moreira</t>
  </si>
  <si>
    <t>6505 0666 6883 4073</t>
  </si>
  <si>
    <t>0983</t>
  </si>
  <si>
    <t>56143646767</t>
  </si>
  <si>
    <t>Matheus Monteiro Oliveira</t>
  </si>
  <si>
    <t>6062 8200 2090 9058</t>
  </si>
  <si>
    <t>6062 8200 1458 6704</t>
  </si>
  <si>
    <t>0984</t>
  </si>
  <si>
    <t>97212546739</t>
  </si>
  <si>
    <t>6505 0666 4191 8406</t>
  </si>
  <si>
    <t>0985</t>
  </si>
  <si>
    <t>65336194115</t>
  </si>
  <si>
    <t>Jessica Cardoso Costa</t>
  </si>
  <si>
    <t>6505 0666 6621 9382</t>
  </si>
  <si>
    <t>0986</t>
  </si>
  <si>
    <t>74984840803</t>
  </si>
  <si>
    <t>Mariana Rocha</t>
  </si>
  <si>
    <t>6062 8200 6007 0704</t>
  </si>
  <si>
    <t>0987</t>
  </si>
  <si>
    <t>08126383798</t>
  </si>
  <si>
    <t>Carolina Freitas</t>
  </si>
  <si>
    <t>6062 8200 5685 3123</t>
  </si>
  <si>
    <t>0988</t>
  </si>
  <si>
    <t>41586070606</t>
  </si>
  <si>
    <t>Carolina Santos</t>
  </si>
  <si>
    <t>6505 0666 1562 3429</t>
  </si>
  <si>
    <t>6505 0666 9359 7421</t>
  </si>
  <si>
    <t>0989</t>
  </si>
  <si>
    <t>12672742553</t>
  </si>
  <si>
    <t>Leandro Gomes Pinto</t>
  </si>
  <si>
    <t>4576 7460 5710 1335</t>
  </si>
  <si>
    <t>0990</t>
  </si>
  <si>
    <t>35618929228</t>
  </si>
  <si>
    <t>Leandro Pereira</t>
  </si>
  <si>
    <t>3782 845258 5032</t>
  </si>
  <si>
    <t>3782 397637 5873</t>
  </si>
  <si>
    <t>0991</t>
  </si>
  <si>
    <t>79443255529</t>
  </si>
  <si>
    <t>Vivian Teixeira</t>
  </si>
  <si>
    <t>6062 8200 4112 7642</t>
  </si>
  <si>
    <t>6062 8200 8717 6663</t>
  </si>
  <si>
    <t>0992</t>
  </si>
  <si>
    <t>94951838630</t>
  </si>
  <si>
    <t>Gustavo Vieira Campos</t>
  </si>
  <si>
    <t>6062 8200 5212 0964</t>
  </si>
  <si>
    <t>0993</t>
  </si>
  <si>
    <t>33937068023</t>
  </si>
  <si>
    <t>Eduardo Araujo Barbosa</t>
  </si>
  <si>
    <t>3782 429141 4665</t>
  </si>
  <si>
    <t>3782 200788 2413</t>
  </si>
  <si>
    <t>0994</t>
  </si>
  <si>
    <t>38748322369</t>
  </si>
  <si>
    <t>Vinicius Barbosa Nunes</t>
  </si>
  <si>
    <t>5442 7460 4499 6906</t>
  </si>
  <si>
    <t>0995</t>
  </si>
  <si>
    <t>93593303965</t>
  </si>
  <si>
    <t>Aline Pinto</t>
  </si>
  <si>
    <t>4576 7460 1300 1232</t>
  </si>
  <si>
    <t>0996</t>
  </si>
  <si>
    <t>26246817360</t>
  </si>
  <si>
    <t>4576 7460 8900 9086</t>
  </si>
  <si>
    <t>0997</t>
  </si>
  <si>
    <t>94056955255</t>
  </si>
  <si>
    <t>Caio Oliveira Campos</t>
  </si>
  <si>
    <t>4576 7460 9982 3980</t>
  </si>
  <si>
    <t>0998</t>
  </si>
  <si>
    <t>76826896680</t>
  </si>
  <si>
    <t>Matheus Santos</t>
  </si>
  <si>
    <t>3782 456680 6537</t>
  </si>
  <si>
    <t>0999</t>
  </si>
  <si>
    <t>77323950341</t>
  </si>
  <si>
    <t>Debora Pereira Nunes</t>
  </si>
  <si>
    <t>6505 0666 1392 9013</t>
  </si>
  <si>
    <t>1000</t>
  </si>
  <si>
    <t>13981688317</t>
  </si>
  <si>
    <t>Amanda Nunes Alves</t>
  </si>
  <si>
    <t>6062 8200 1112 8806</t>
  </si>
  <si>
    <t>6062 8200 1383 1755</t>
  </si>
  <si>
    <t>venc.</t>
  </si>
  <si>
    <t>corte</t>
  </si>
  <si>
    <t>5</t>
  </si>
  <si>
    <t>26</t>
  </si>
  <si>
    <t>23</t>
  </si>
  <si>
    <t>7</t>
  </si>
  <si>
    <t>9</t>
  </si>
  <si>
    <t>21</t>
  </si>
  <si>
    <t>8</t>
  </si>
  <si>
    <t>3</t>
  </si>
  <si>
    <t>18</t>
  </si>
  <si>
    <t>28</t>
  </si>
  <si>
    <t>2</t>
  </si>
  <si>
    <t>4</t>
  </si>
  <si>
    <t>24</t>
  </si>
  <si>
    <t>38</t>
  </si>
  <si>
    <t>69</t>
  </si>
  <si>
    <t>67</t>
  </si>
  <si>
    <t>43</t>
  </si>
  <si>
    <t>64</t>
  </si>
  <si>
    <t>60</t>
  </si>
  <si>
    <t>51</t>
  </si>
  <si>
    <t>49</t>
  </si>
  <si>
    <t>47</t>
  </si>
  <si>
    <t>34</t>
  </si>
  <si>
    <t>1001</t>
  </si>
  <si>
    <t>11739361148</t>
  </si>
  <si>
    <t>Larissa Monteiro Freitas</t>
  </si>
  <si>
    <t>5442 7460 4090 9708</t>
  </si>
  <si>
    <t>1002</t>
  </si>
  <si>
    <t>15607750841</t>
  </si>
  <si>
    <t>5442 7460 9064 2229</t>
  </si>
  <si>
    <t>1003</t>
  </si>
  <si>
    <t>96941995653</t>
  </si>
  <si>
    <t>Renato Pinto Barbosa</t>
  </si>
  <si>
    <t>6505 0666 9119 1217</t>
  </si>
  <si>
    <t>1004</t>
  </si>
  <si>
    <t>36502564526</t>
  </si>
  <si>
    <t>Diego Souza</t>
  </si>
  <si>
    <t>3782 535964 9317</t>
  </si>
  <si>
    <t>3782 558647 9916</t>
  </si>
  <si>
    <t>1005</t>
  </si>
  <si>
    <t>35721436247</t>
  </si>
  <si>
    <t>Tatiane Cavalcanti Souza</t>
  </si>
  <si>
    <t>6505 0666 8579 6709</t>
  </si>
  <si>
    <t>1006</t>
  </si>
  <si>
    <t>48335528098</t>
  </si>
  <si>
    <t>Woojin Yoon</t>
  </si>
  <si>
    <t>5442 7460 1924 2560</t>
  </si>
  <si>
    <t>1007</t>
  </si>
  <si>
    <t>18770234698</t>
  </si>
  <si>
    <t>Woojin Song</t>
  </si>
  <si>
    <t>3782 540038 2816</t>
  </si>
  <si>
    <t>1008</t>
  </si>
  <si>
    <t>06668995764</t>
  </si>
  <si>
    <t>Yejun Hwang</t>
  </si>
  <si>
    <t>4576 7460 3072 8020</t>
  </si>
  <si>
    <t>1009</t>
  </si>
  <si>
    <t>86874689460</t>
  </si>
  <si>
    <t>Yuna Jung</t>
  </si>
  <si>
    <t>6505 0666 6952 0347</t>
  </si>
  <si>
    <t>1010</t>
  </si>
  <si>
    <t>25795155268</t>
  </si>
  <si>
    <t>Hyunwoo Lee</t>
  </si>
  <si>
    <t>3782 998031 5956</t>
  </si>
  <si>
    <t>1011</t>
  </si>
  <si>
    <t>90544937635</t>
  </si>
  <si>
    <t>Taro Shimizu Sato</t>
  </si>
  <si>
    <t>6062 8200 9612 7995</t>
  </si>
  <si>
    <t>6062 8200 9976 3120</t>
  </si>
  <si>
    <t>1012</t>
  </si>
  <si>
    <t>65682191773</t>
  </si>
  <si>
    <t>Sofia Fernandez</t>
  </si>
  <si>
    <t>4576 7460 7331 5482</t>
  </si>
  <si>
    <t>1013</t>
  </si>
  <si>
    <t>62274646511</t>
  </si>
  <si>
    <t>Giulia Colombo Rizzo</t>
  </si>
  <si>
    <t>6505 0666 7816 6776</t>
  </si>
  <si>
    <t>6505 0666 3124 2079</t>
  </si>
  <si>
    <t>1014</t>
  </si>
  <si>
    <t>06604021149</t>
  </si>
  <si>
    <t>Giulia Giordano</t>
  </si>
  <si>
    <t>6505 0666 9385 0141</t>
  </si>
  <si>
    <t>1015</t>
  </si>
  <si>
    <t>86436263330</t>
  </si>
  <si>
    <t>Lucas Bertrand</t>
  </si>
  <si>
    <t>4576 7460 7776 2785</t>
  </si>
  <si>
    <t>4576 7460 1613 2392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</si>
</sst>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FF0000"/>
      <name val="Arial"/>
      <family val="2"/>
      <charset val="1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44" fontId="9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56">
    <xf numFmtId="0" fontId="0" fillId="0" borderId="0" xfId="0"/>
    <xf numFmtId="49" fontId="6" fillId="0" borderId="0" xfId="1" applyNumberFormat="1"/>
    <xf numFmtId="49" fontId="0" fillId="0" borderId="0" xfId="0" applyNumberFormat="1"/>
    <xf numFmtId="0" fontId="5" fillId="0" borderId="0" xfId="1" applyFont="1"/>
    <xf numFmtId="49" fontId="0" fillId="0" borderId="3" xfId="0" applyNumberFormat="1" applyBorder="1" applyProtection="1">
      <protection locked="0"/>
    </xf>
    <xf numFmtId="0" fontId="0" fillId="0" borderId="4" xfId="0" applyBorder="1"/>
    <xf numFmtId="49" fontId="8" fillId="0" borderId="1" xfId="0" applyNumberFormat="1" applyFont="1" applyBorder="1" applyProtection="1">
      <protection locked="0"/>
    </xf>
    <xf numFmtId="49" fontId="8" fillId="0" borderId="2" xfId="0" applyNumberFormat="1" applyFont="1" applyBorder="1"/>
    <xf numFmtId="49" fontId="8" fillId="0" borderId="2" xfId="0" applyNumberFormat="1" applyFont="1" applyBorder="1" applyProtection="1">
      <protection locked="0"/>
    </xf>
    <xf numFmtId="164" fontId="0" fillId="0" borderId="4" xfId="0" applyNumberFormat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8" fillId="0" borderId="2" xfId="0" applyNumberFormat="1" applyFont="1" applyBorder="1" applyAlignment="1">
      <alignment vertical="center"/>
    </xf>
    <xf numFmtId="0" fontId="4" fillId="0" borderId="0" xfId="1" applyFon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3" fillId="0" borderId="0" xfId="1" applyFont="1" applyAlignment="1">
      <alignment horizontal="left"/>
    </xf>
    <xf numFmtId="0" fontId="6" fillId="0" borderId="0" xfId="1"/>
    <xf numFmtId="0" fontId="3" fillId="0" borderId="0" xfId="1" applyFont="1"/>
    <xf numFmtId="44" fontId="0" fillId="0" borderId="0" xfId="2" applyFont="1" applyAlignment="1">
      <alignment horizontal="left"/>
    </xf>
    <xf numFmtId="44" fontId="10" fillId="0" borderId="0" xfId="2" applyFont="1"/>
    <xf numFmtId="0" fontId="10" fillId="0" borderId="0" xfId="0" applyFont="1"/>
    <xf numFmtId="22" fontId="0" fillId="0" borderId="0" xfId="0" applyNumberFormat="1"/>
    <xf numFmtId="44" fontId="0" fillId="0" borderId="0" xfId="2" applyFont="1"/>
    <xf numFmtId="49" fontId="2" fillId="0" borderId="0" xfId="1" applyNumberFormat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44" fontId="0" fillId="0" borderId="0" xfId="3" applyNumberFormat="1" applyFont="1"/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0" fillId="0" borderId="0" xfId="2" applyNumberFormat="1" applyFont="1"/>
    <xf numFmtId="0" fontId="10" fillId="0" borderId="0" xfId="2" applyNumberFormat="1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2" applyNumberFormat="1" applyFont="1" applyAlignment="1">
      <alignment horizontal="left"/>
    </xf>
    <xf numFmtId="0" fontId="0" fillId="0" borderId="0" xfId="2" applyNumberFormat="1" applyFont="1" applyAlignment="1">
      <alignment horizontal="left"/>
    </xf>
    <xf numFmtId="14" fontId="0" fillId="0" borderId="0" xfId="0" applyNumberForma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6" fillId="0" borderId="0" xfId="1" applyNumberFormat="1" applyAlignment="1">
      <alignment vertical="center" wrapText="1"/>
    </xf>
    <xf numFmtId="49" fontId="5" fillId="0" borderId="0" xfId="1" applyNumberFormat="1" applyFont="1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2" applyNumberFormat="1" applyFont="1" applyAlignment="1">
      <alignment horizontal="right"/>
    </xf>
    <xf numFmtId="2" fontId="0" fillId="0" borderId="0" xfId="2" applyNumberFormat="1" applyFont="1" applyAlignment="1">
      <alignment horizontal="right"/>
    </xf>
    <xf numFmtId="0" fontId="0" fillId="2" borderId="0" xfId="2" applyNumberFormat="1" applyFont="1" applyFill="1" applyAlignment="1">
      <alignment horizontal="right"/>
    </xf>
    <xf numFmtId="2" fontId="0" fillId="2" borderId="0" xfId="2" applyNumberFormat="1" applyFont="1" applyFill="1" applyAlignment="1">
      <alignment horizontal="right"/>
    </xf>
    <xf numFmtId="0" fontId="0" fillId="2" borderId="0" xfId="0" applyFill="1"/>
    <xf numFmtId="1" fontId="0" fillId="2" borderId="0" xfId="0" applyNumberFormat="1" applyFill="1" applyAlignment="1">
      <alignment horizontal="center"/>
    </xf>
    <xf numFmtId="44" fontId="0" fillId="2" borderId="0" xfId="3" applyNumberFormat="1" applyFont="1" applyFill="1"/>
    <xf numFmtId="22" fontId="0" fillId="2" borderId="0" xfId="0" applyNumberFormat="1" applyFill="1"/>
    <xf numFmtId="0" fontId="0" fillId="2" borderId="0" xfId="0" applyFill="1" applyAlignment="1">
      <alignment horizontal="center"/>
    </xf>
    <xf numFmtId="44" fontId="0" fillId="0" borderId="0" xfId="3" applyNumberFormat="1" applyFont="1" applyAlignment="1">
      <alignment horizontal="right"/>
    </xf>
    <xf numFmtId="44" fontId="0" fillId="2" borderId="0" xfId="3" applyNumberFormat="1" applyFont="1" applyFill="1" applyAlignment="1">
      <alignment horizontal="right"/>
    </xf>
  </cellXfs>
  <cellStyles count="4">
    <cellStyle name="Hiperlink" xfId="3" builtinId="8"/>
    <cellStyle name="Moeda" xfId="2" builtinId="4"/>
    <cellStyle name="Normal" xfId="0" builtinId="0"/>
    <cellStyle name="Normal 2" xfId="1" xr:uid="{DFC4EA73-6E46-4D59-8793-29F8B9222C2D}"/>
  </cellStyles>
  <dxfs count="97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FFFFFF"/>
        <name val="Arial"/>
        <family val="2"/>
        <charset val="1"/>
      </font>
      <fill>
        <patternFill>
          <bgColor rgb="FFCC0000"/>
        </patternFill>
      </fill>
    </dxf>
    <dxf>
      <font>
        <b/>
        <color rgb="FFFFFFFF"/>
        <name val="Arial"/>
        <family val="2"/>
        <charset val="1"/>
      </font>
      <fill>
        <patternFill>
          <bgColor rgb="FFCC0000"/>
        </patternFill>
      </fill>
    </dxf>
    <dxf>
      <font>
        <b/>
        <color rgb="FFFFFFFF"/>
        <name val="Arial"/>
        <family val="2"/>
        <charset val="1"/>
      </font>
      <fill>
        <patternFill>
          <bgColor rgb="FFCC0000"/>
        </patternFill>
      </fill>
    </dxf>
    <dxf>
      <font>
        <b/>
        <i val="0"/>
        <color rgb="FF002060"/>
      </font>
      <fill>
        <gradientFill type="path"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b/>
        <i val="0"/>
        <color rgb="FF002060"/>
      </font>
      <fill>
        <gradientFill degree="135"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b/>
        <i val="0"/>
        <color rgb="FF002060"/>
      </font>
      <fill>
        <gradientFill degree="45"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b/>
        <i val="0"/>
        <color rgb="FF002060"/>
      </font>
      <fill>
        <gradientFill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b/>
        <i val="0"/>
        <color rgb="FF002060"/>
      </font>
      <fill>
        <gradientFill>
          <stop position="0">
            <color theme="9" tint="0.40000610370189521"/>
          </stop>
          <stop position="1">
            <color theme="9" tint="-0.25098422193060094"/>
          </stop>
        </gradientFill>
      </fill>
    </dxf>
    <dxf>
      <font>
        <b/>
        <i val="0"/>
      </font>
      <fill>
        <patternFill patternType="none">
          <fgColor indexed="64"/>
          <bgColor auto="1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2060"/>
      </font>
      <fill>
        <gradientFill type="path" left="0.5" right="0.5" top="0.5" bottom="0.5"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" formatCode="0"/>
      <alignment horizontal="center" vertical="bottom" textRotation="0" wrapText="0" indent="0" justifyLastLine="0" shrinkToFit="0" readingOrder="0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right" vertical="bottom" textRotation="0" wrapText="0" indent="0" justifyLastLine="0" shrinkToFit="0" readingOrder="0"/>
    </dxf>
    <dxf>
      <numFmt numFmtId="0" formatCode="General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alignment horizontal="center" vertical="center" textRotation="0" wrapText="1" indent="0" justifyLastLine="0" shrinkToFit="0" readingOrder="0"/>
    </dxf>
    <dxf>
      <numFmt numFmtId="164" formatCode="&quot;R$&quot;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0" formatCode="@"/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none">
          <fgColor indexed="64"/>
          <bgColor auto="1"/>
        </patternFill>
      </fill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charset val="1"/>
        <scheme val="none"/>
      </font>
      <numFmt numFmtId="30" formatCode="@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numFmt numFmtId="0" formatCode="General"/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numFmt numFmtId="30" formatCode="@"/>
    </dxf>
    <dxf>
      <numFmt numFmtId="30" formatCode="@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9" defaultPivotStyle="PivotStyleMedium4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" xr16:uid="{500314BB-8899-4613-926B-EF6D3B590080}" autoFormatId="16" applyNumberFormats="0" applyBorderFormats="0" applyFontFormats="0" applyPatternFormats="0" applyAlignmentFormats="0" applyWidthHeightFormats="0">
  <queryTableRefresh nextId="19" unboundColumnsRight="1">
    <queryTableFields count="18">
      <queryTableField id="1" name="id_massa" tableColumnId="1"/>
      <queryTableField id="2" name="cpf" tableColumnId="2"/>
      <queryTableField id="3" name="dia_vencimento" tableColumnId="3"/>
      <queryTableField id="4" name="nome_completo" tableColumnId="4"/>
      <queryTableField id="5" name="saldo_conta" tableColumnId="5"/>
      <queryTableField id="6" name="limite_utilizado" tableColumnId="6"/>
      <queryTableField id="7" name="limite_disponivel" tableColumnId="7"/>
      <queryTableField id="8" name="fatura_fechada" tableColumnId="8"/>
      <queryTableField id="9" name="status_fatura_fechada" tableColumnId="9"/>
      <queryTableField id="10" name="fatura_aberta" tableColumnId="10"/>
      <queryTableField id="11" name="dias_atraso" tableColumnId="11"/>
      <queryTableField id="12" name="status" tableColumnId="12"/>
      <queryTableField id="13" name="cartao_fisico_numero" tableColumnId="13"/>
      <queryTableField id="14" name="cartao_fisico_cvv" tableColumnId="14"/>
      <queryTableField id="15" name="cartao_virtual_numero" tableColumnId="15"/>
      <queryTableField id="16" name="cartao_virtual_cvv" tableColumnId="16"/>
      <queryTableField id="17" name="data_criação" tableColumnId="17"/>
      <queryTableField id="18" dataBound="0" tableColumnId="18"/>
    </queryTableFields>
  </queryTableRefresh>
</queryTable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4A8DCBB-AFA9-4AAC-A564-CCD30E8AEE7C}" name="TBL_FATURA" displayName="TBL_FATURA" ref="A1:O6" totalsRowShown="0" headerRowDxfId="71">
  <autoFilter ref="A1:O6" xr:uid="{ACAD8BB5-3CE9-41D3-BC36-340712D20CB1}"/>
  <tableColumns count="15">
    <tableColumn id="5" xr3:uid="{3835DD3A-E6B3-46D4-BF43-5EC599302DB5}" name="ID_CENARIO" dataDxfId="70"/>
    <tableColumn id="1" xr3:uid="{57D281C3-E317-40AA-B086-71E4FF806825}" name="ID_MASSA" dataDxfId="69">
      <calculatedColumnFormula>_xlfn.XLOOKUP($A2,TBL_CENARIOS[ID_CENARIO],TBL_CENARIOS[ID_MASSA],"--",0,1)</calculatedColumnFormula>
    </tableColumn>
    <tableColumn id="6" xr3:uid="{C775FE0F-6A46-45A9-9C26-21A3D2856363}" name="CPF">
      <calculatedColumnFormula>_xlfn.XLOOKUP($A2,TBL_CENARIOS[ID_CENARIO],TBL_CENARIOS[CPF],"--",0,1)</calculatedColumnFormula>
    </tableColumn>
    <tableColumn id="8" xr3:uid="{47E83102-DC67-4564-B063-A4126B4C33A5}" name="saldo_conta" dataDxfId="68" dataCellStyle="Moeda">
      <calculatedColumnFormula>_xlfn.XLOOKUP(TBL_FATURA[[#This Row],[ID_MASSA]],tbl_de_massas[id_massa],tbl_de_massas[saldo_conta],"--",0,1)</calculatedColumnFormula>
    </tableColumn>
    <tableColumn id="11" xr3:uid="{65AEF7CC-35B8-4DEF-BA22-B2268F41A298}" name="fatura_fechada" dataDxfId="67" dataCellStyle="Moeda">
      <calculatedColumnFormula>_xlfn.XLOOKUP(TBL_FATURA[[#This Row],[ID_MASSA]],tbl_de_massas[id_massa],tbl_de_massas[fatura_fechada],"--",0,1)</calculatedColumnFormula>
    </tableColumn>
    <tableColumn id="12" xr3:uid="{B3645EC9-0054-4C8B-A89B-2FB889ECAE48}" name="fatura_aberta" dataDxfId="66" dataCellStyle="Moeda">
      <calculatedColumnFormula>_xlfn.XLOOKUP(TBL_FATURA[[#This Row],[ID_MASSA]],tbl_de_massas[id_massa],tbl_de_massas[fatura_aberta],"--",0,1)</calculatedColumnFormula>
    </tableColumn>
    <tableColumn id="13" xr3:uid="{D922D015-E52D-4AFC-A686-3CF3420CDBF1}" name="dias_atraso" dataDxfId="65" dataCellStyle="Moeda">
      <calculatedColumnFormula>_xlfn.XLOOKUP(TBL_FATURA[[#This Row],[ID_MASSA]],tbl_de_massas[id_massa],tbl_de_massas[dias_atraso],"--",0,1)</calculatedColumnFormula>
    </tableColumn>
    <tableColumn id="15" xr3:uid="{7718918C-F813-4703-9A25-E7831CED560A}" name="fat_min" dataDxfId="64" dataCellStyle="Moeda">
      <calculatedColumnFormula>VALUE(_xlfn.XLOOKUP(TBL_FATURA[[#This Row],[ID_MASSA]],tbl_de_massas[id_massa],tbl_de_massas[fatura_fechada],"--",0,1)*0.1)</calculatedColumnFormula>
    </tableColumn>
    <tableColumn id="9" xr3:uid="{51E319A8-2E6A-44FA-AF5E-CD59CE2CF427}" name="fat_parcial" dataDxfId="63" dataCellStyle="Moeda">
      <calculatedColumnFormula>VALUE(_xlfn.XLOOKUP(TBL_FATURA[[#This Row],[ID_MASSA]],tbl_de_massas[id_massa],tbl_de_massas[saldo_conta],"--",0,1)*0.25)</calculatedColumnFormula>
    </tableColumn>
    <tableColumn id="10" xr3:uid="{95C3F721-AB02-42BC-A826-38C13FB7B4F0}" name="fat_menor_min" dataDxfId="62" dataCellStyle="Moeda">
      <calculatedColumnFormula>VALUE(_xlfn.XLOOKUP(TBL_FATURA[[#This Row],[ID_MASSA]],tbl_de_massas[id_massa],tbl_de_massas[saldo_conta],"--",0,1)*0.02)</calculatedColumnFormula>
    </tableColumn>
    <tableColumn id="4" xr3:uid="{3042AD2E-CEA4-4968-BD5C-8C9EFD465383}" name="fat_maior_min" dataDxfId="61" dataCellStyle="Moeda">
      <calculatedColumnFormula>VALUE(_xlfn.XLOOKUP(TBL_FATURA[[#This Row],[ID_MASSA]],tbl_de_massas[id_massa],tbl_de_massas[saldo_conta],"--",0,1)*0.099)</calculatedColumnFormula>
    </tableColumn>
    <tableColumn id="2" xr3:uid="{57E8C4E6-1D02-4ED8-AB91-338A2B41001B}" name="status" dataDxfId="60">
      <calculatedColumnFormula>_xlfn.XLOOKUP(TBL_FATURA[[#This Row],[ID_MASSA]],tbl_de_massas[id_massa],tbl_de_massas[status],"--",0,1)</calculatedColumnFormula>
    </tableColumn>
    <tableColumn id="3" xr3:uid="{4B955240-A8E1-4014-81BB-6BD30D716D59}" name="status_fat_fechada" dataDxfId="59" dataCellStyle="Moeda">
      <calculatedColumnFormula>_xlfn.XLOOKUP(TBL_FATURA[[#This Row],[ID_MASSA]],tbl_de_massas[id_massa],tbl_de_massas[status_fatura_fechada],"--",0,1)</calculatedColumnFormula>
    </tableColumn>
    <tableColumn id="7" xr3:uid="{A7C741C0-C17D-4767-A53D-C57B04895AEB}" name="venc." dataDxfId="58" dataCellStyle="Moeda">
      <calculatedColumnFormula>_xlfn.XLOOKUP(TBL_FATURA[[#This Row],[ID_MASSA]],tbl_de_massas[id_massa],tbl_de_massas[dia_vencimento],"--",0,1)</calculatedColumnFormula>
    </tableColumn>
    <tableColumn id="14" xr3:uid="{B6F213D9-4149-42F8-B3E9-E59752142245}" name="corte" dataDxfId="57" dataCellStyle="Moeda">
      <calculatedColumnFormula>IF(TBL_FATURA[[#This Row],[venc.]]+5&gt;31,TBL_FATURA[[#This Row],[venc.]]+5-31,TBL_FATURA[[#This Row],[venc.]]+5)</calculatedColumnFormula>
    </tableColumn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AD8BB5-3CE9-41D3-BC36-340712D20CB1}" name="TBL_CENARIOS" displayName="TBL_CENARIOS" ref="A1:W15" totalsRowShown="0" headerRowDxfId="96" dataDxfId="95">
  <autoFilter ref="A1:W15" xr:uid="{ACAD8BB5-3CE9-41D3-BC36-340712D20CB1}"/>
  <tableColumns count="23">
    <tableColumn id="1" xr3:uid="{6B5CC53B-DBD1-4CDD-9C32-1542A08B6368}" name="SEQ" dataDxfId="94"/>
    <tableColumn id="2" xr3:uid="{CD2BF865-12FB-4CA7-92AF-5986F6A10D19}" name="ID_CENARIO" dataDxfId="93"/>
    <tableColumn id="3" xr3:uid="{563E21B0-9315-4673-AE65-91CD43ACD432}" name="NOME" dataDxfId="92"/>
    <tableColumn id="4" xr3:uid="{DB0D9038-101D-470A-81C6-962007B72CE6}" name="FEATURE" dataDxfId="91"/>
    <tableColumn id="5" xr3:uid="{16EFE91C-C2D5-4678-8B5A-309210985C7C}" name="ID_MASSA" dataDxfId="90"/>
    <tableColumn id="6" xr3:uid="{C1F4FC78-7C99-4F62-96BF-BB11A4BB5183}" name="CPF" dataDxfId="89"/>
    <tableColumn id="7" xr3:uid="{A3E27E20-946D-47F2-A273-1FEB437AB4D1}" name="SENHA" dataDxfId="88"/>
    <tableColumn id="8" xr3:uid="{74AA8602-E172-4420-A77A-A4E3DCAD25A6}" name="saldo_conta" dataDxfId="87" dataCellStyle="Moeda">
      <calculatedColumnFormula>_xlfn.XLOOKUP(TBL_CENARIOS[[#This Row],[ID_MASSA]],tbl_de_massas[id_massa],tbl_de_massas[saldo_conta],"--",0,1)</calculatedColumnFormula>
    </tableColumn>
    <tableColumn id="18" xr3:uid="{7E6DB8D1-89E4-444D-93CD-81751FD245EA}" name="Valor PIX" dataDxfId="86" dataCellStyle="Moeda"/>
    <tableColumn id="9" xr3:uid="{BF33B3D0-974C-4FA3-A80F-DFF5462F5091}" name="limite_utilizado" dataDxfId="85" dataCellStyle="Moeda">
      <calculatedColumnFormula>_xlfn.XLOOKUP(TBL_CENARIOS[[#This Row],[ID_MASSA]],tbl_de_massas[id_massa],tbl_de_massas[limite_utilizado],"--",0,1)</calculatedColumnFormula>
    </tableColumn>
    <tableColumn id="10" xr3:uid="{DE162726-6540-4059-9A60-3F7ACBE5D86F}" name="limite_disponivel" dataDxfId="84" dataCellStyle="Moeda">
      <calculatedColumnFormula>_xlfn.XLOOKUP(TBL_CENARIOS[[#This Row],[ID_MASSA]],tbl_de_massas[id_massa],tbl_de_massas[limite_disponivel],"--",0,1)</calculatedColumnFormula>
    </tableColumn>
    <tableColumn id="11" xr3:uid="{BAB42A70-210B-4E99-9320-0B78E4B019F3}" name="fatura_fechada" dataDxfId="83" dataCellStyle="Moeda">
      <calculatedColumnFormula>_xlfn.XLOOKUP(TBL_CENARIOS[[#This Row],[ID_MASSA]],tbl_de_massas[id_massa],tbl_de_massas[fatura_fechada],"--",0,1)</calculatedColumnFormula>
    </tableColumn>
    <tableColumn id="12" xr3:uid="{BEFA12A4-F572-4ED2-A6F9-929A0EF3AFEF}" name="fatura_aberta" dataDxfId="82" dataCellStyle="Moeda">
      <calculatedColumnFormula>_xlfn.XLOOKUP(TBL_CENARIOS[[#This Row],[ID_MASSA]],tbl_de_massas[id_massa],tbl_de_massas[fatura_aberta],"--",0,1)</calculatedColumnFormula>
    </tableColumn>
    <tableColumn id="14" xr3:uid="{9C454D31-997B-4C6C-92CF-B33DA8B73E50}" name="fat_min" dataDxfId="81" dataCellStyle="Moeda">
      <calculatedColumnFormula>VALUE(_xlfn.XLOOKUP(TBL_CENARIOS[[#This Row],[ID_MASSA]],tbl_de_massas[id_massa],tbl_de_massas[fatura_fechada],"--",0,1)*0.1)</calculatedColumnFormula>
    </tableColumn>
    <tableColumn id="15" xr3:uid="{82A5D342-0BF9-45E0-81B9-42D12E59D3A9}" name="fat_parcial" dataDxfId="80" dataCellStyle="Moeda">
      <calculatedColumnFormula>VALUE(_xlfn.XLOOKUP(TBL_CENARIOS[[#This Row],[ID_MASSA]],tbl_de_massas[id_massa],tbl_de_massas[saldo_conta],"--",0,1)*0.25)</calculatedColumnFormula>
    </tableColumn>
    <tableColumn id="16" xr3:uid="{EA17B47C-E9FE-408E-97D1-4B2273406D14}" name="fat_menor_min" dataDxfId="79" dataCellStyle="Moeda">
      <calculatedColumnFormula>VALUE(_xlfn.XLOOKUP(TBL_CENARIOS[[#This Row],[ID_MASSA]],tbl_de_massas[id_massa],tbl_de_massas[saldo_conta],"--",0,1)*0.007)</calculatedColumnFormula>
    </tableColumn>
    <tableColumn id="17" xr3:uid="{C6117F9B-9405-463E-B2DB-0E2DACBFFA31}" name="fat_maior_min" dataDxfId="78" dataCellStyle="Moeda">
      <calculatedColumnFormula>VALUE(_xlfn.XLOOKUP(TBL_CENARIOS[[#This Row],[ID_MASSA]],tbl_de_massas[id_massa],tbl_de_massas[saldo_conta],"--",0,1)*0.099)</calculatedColumnFormula>
    </tableColumn>
    <tableColumn id="19" xr3:uid="{11A030C0-138C-463E-92B7-77F64AC67ADF}" name="status" dataDxfId="77">
      <calculatedColumnFormula>_xlfn.XLOOKUP(TBL_CENARIOS[[#This Row],[ID_MASSA]],tbl_de_massas[id_massa],tbl_de_massas[status],"--",0,1)</calculatedColumnFormula>
    </tableColumn>
    <tableColumn id="21" xr3:uid="{8748C400-3BBD-42E6-83F5-72E138B1CF9A}" name="status_fat_fechada" dataDxfId="76">
      <calculatedColumnFormula>_xlfn.XLOOKUP(TBL_CENARIOS[[#This Row],[ID_MASSA]],tbl_de_massas[id_massa],tbl_de_massas[status_fatura_fechada],"--",0,1)</calculatedColumnFormula>
    </tableColumn>
    <tableColumn id="22" xr3:uid="{7ECC047B-1085-4001-85AF-77847D602B78}" name="venc." dataDxfId="75"/>
    <tableColumn id="23" xr3:uid="{3FD9B604-E104-4BA1-AA96-690807BA8253}" name="corte" dataDxfId="74" dataCellStyle="Moeda"/>
    <tableColumn id="13" xr3:uid="{C77AE377-2821-4B52-A59F-255A37268165}" name="dias_atraso" dataDxfId="73" dataCellStyle="Moeda">
      <calculatedColumnFormula>_xlfn.XLOOKUP(TBL_CENARIOS[[#This Row],[ID_MASSA]],tbl_de_massas[id_massa],tbl_de_massas[dias_atraso],"--",0,1)</calculatedColumnFormula>
    </tableColumn>
    <tableColumn id="20" xr3:uid="{27E369B8-6B20-48FC-82AA-2FEDE6A41898}" name="PIN" dataDxfId="72" dataCellStyle="Moeda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USUARIOS" displayName="TBL_USUARIOS" ref="A1:H315" totalsRowShown="0">
  <autoFilter ref="A1:H315" xr:uid="{00000000-0009-0000-0100-000002000000}"/>
  <sortState xmlns:xlrd2="http://schemas.microsoft.com/office/spreadsheetml/2017/richdata2" ref="A2:H97">
    <sortCondition ref="A1:A97"/>
  </sortState>
  <tableColumns count="8">
    <tableColumn id="1" xr3:uid="{00000000-0010-0000-0100-000001000000}" name="ID_MASSA"/>
    <tableColumn id="2" xr3:uid="{00000000-0010-0000-0100-000002000000}" name="CPF" dataDxfId="56">
      <calculatedColumnFormula>_xlfn.XLOOKUP(TBL_USUARIOS[[#This Row],[ID_MASSA]],tbl_de_massas[id_massa],tbl_de_massas[cpf],"--",0,1)</calculatedColumnFormula>
    </tableColumn>
    <tableColumn id="3" xr3:uid="{00000000-0010-0000-0100-000003000000}" name="SENHA"/>
    <tableColumn id="4" xr3:uid="{00000000-0010-0000-0100-000004000000}" name="Nome Completo" dataDxfId="55">
      <calculatedColumnFormula>_xlfn.XLOOKUP(TBL_USUARIOS[[#This Row],[ID_MASSA]],tbl_de_massas[id_massa],tbl_de_massas[nome_completo],"--",0,1)</calculatedColumnFormula>
    </tableColumn>
    <tableColumn id="5" xr3:uid="{00000000-0010-0000-0100-000005000000}" name="CARTÃO" dataDxfId="54">
      <calculatedColumnFormula>_xlfn.XLOOKUP(TBL_USUARIOS[[#This Row],[ID_MASSA]],tbl_de_massas[id_massa],tbl_de_massas[cartao_fisico_numero],"--",0,1)</calculatedColumnFormula>
    </tableColumn>
    <tableColumn id="6" xr3:uid="{00000000-0010-0000-0100-000006000000}" name="CARACTERISTICAS" dataDxfId="53">
      <calculatedColumnFormula>_xlfn.XLOOKUP(TBL_USUARIOS[[#This Row],[ID_MASSA]],tbl_de_massas[id_massa],tbl_de_massas[cartao_fisico_cvv],"--",0,1)</calculatedColumnFormula>
    </tableColumn>
    <tableColumn id="7" xr3:uid="{00000000-0010-0000-0100-000007000000}" name="SALDO" dataDxfId="52">
      <calculatedColumnFormula>_xlfn.XLOOKUP(TBL_USUARIOS[[#This Row],[ID_MASSA]],tbl_de_massas[id_massa],tbl_de_massas[cartao_virtual_numero],"--",0,1)</calculatedColumnFormula>
    </tableColumn>
    <tableColumn id="8" xr3:uid="{00000000-0010-0000-0100-000008000000}" name="OBSERVACAO" dataDxfId="51">
      <calculatedColumnFormula>_xlfn.XLOOKUP(TBL_USUARIOS[[#This Row],[ID_MASSA]],tbl_de_massas[id_massa],tbl_de_massas[cartao_virtual_cvv],"--",0,1)</calculatedColumnFormula>
    </tableColumn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1710CA-FA03-41CA-A221-9CA1B5EF534E}" name="TBL_PIX" displayName="TBL_PIX" ref="A1:F2" totalsRowShown="0" headerRowDxfId="50" dataDxfId="48" headerRowBorderDxfId="49" tableBorderDxfId="47" totalsRowBorderDxfId="46">
  <autoFilter ref="A1:F2" xr:uid="{021710CA-FA03-41CA-A221-9CA1B5EF534E}"/>
  <tableColumns count="6">
    <tableColumn id="1" xr3:uid="{2BC66165-7F34-4B47-97D4-FA2E4B4C0BB4}" name="ID_USUARIO" dataDxfId="45"/>
    <tableColumn id="2" xr3:uid="{03E4ED89-DB74-4513-BC91-E5329EA55201}" name="CPF" dataDxfId="44">
      <calculatedColumnFormula>_xlfn.XLOOKUP(TBL_PIX[[#This Row],[ID_USUARIO]],#REF!,#REF!,"--",0,1)</calculatedColumnFormula>
    </tableColumn>
    <tableColumn id="3" xr3:uid="{D32F7505-23BF-4176-8736-AFFD4F1E4BC7}" name="TELEFONE" dataDxfId="43">
      <calculatedColumnFormula>_xlfn.XLOOKUP(TBL_PIX[[#This Row],[ID_USUARIO]],#REF!,#REF!,"--",0,1)</calculatedColumnFormula>
    </tableColumn>
    <tableColumn id="4" xr3:uid="{72C80B85-AED0-4C8F-A725-6C049D5CE2CD}" name="EMAIL" dataDxfId="42">
      <calculatedColumnFormula>_xlfn.XLOOKUP(TBL_PIX[[#This Row],[ID_USUARIO]],#REF!,#REF!,"--",0,1)</calculatedColumnFormula>
    </tableColumn>
    <tableColumn id="5" xr3:uid="{47018E78-96FB-42D5-A9B9-1986EAA97150}" name="CHAVE_ALEATORIA" dataDxfId="41">
      <calculatedColumnFormula>_xlfn.XLOOKUP(TBL_PIX[[#This Row],[EMAIL]],#REF!,#REF!,"--",0,1)</calculatedColumnFormula>
    </tableColumn>
    <tableColumn id="6" xr3:uid="{0BDC1BD7-71D0-4DFB-A376-0878F5128002}" name="VALOR " dataDxfId="40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8245E5D-5355-4FC8-B167-80DE573ACBC4}" name="TBL_USUARIOS_SECUNDARIOS" displayName="TBL_USUARIOS_SECUNDARIOS" ref="A1:F11" totalsRowShown="0" headerRowDxfId="39">
  <autoFilter ref="A1:F11" xr:uid="{ACAD8BB5-3CE9-41D3-BC36-340712D20CB1}"/>
  <tableColumns count="6">
    <tableColumn id="1" xr3:uid="{CC19F18F-BD6D-4A4C-A7A5-391603A99248}" name="ID_CENARIO" dataDxfId="38"/>
    <tableColumn id="5" xr3:uid="{8A869B4C-0B04-4799-B600-D2FC3C489A7C}" name="ID_MASSA" dataDxfId="37"/>
    <tableColumn id="6" xr3:uid="{3E06E571-9310-48C4-8118-D2077283E386}" name="CPF">
      <calculatedColumnFormula array="1">_xlfn.XLOOKUP(TBL_USUARIOS_SECUNDARIOS[[#This Row],[ID_MASSA]]&amp;"",#REF!&amp;"",#REF!&amp;"","--",0,1)</calculatedColumnFormula>
    </tableColumn>
    <tableColumn id="9" xr3:uid="{4E395619-FB9A-4352-AE19-9A6EF94F0D66}" name="CARACTERISTICAS" dataDxfId="36"/>
    <tableColumn id="10" xr3:uid="{62E00385-9862-4F18-A5C6-32F5C8D9CFFE}" name="SALDO" dataDxfId="35"/>
    <tableColumn id="11" xr3:uid="{046F1A48-9169-4337-AC48-D03FA3313EC5}" name="OBSERVACAO" dataDxfId="34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A26CAEB-DA90-4016-8F8A-EF8F83695CA4}" name="tbl_de_massas" displayName="tbl_de_massas" ref="A1:R1016" tableType="queryTable" totalsRowShown="0">
  <autoFilter ref="A1:R1016" xr:uid="{0A26CAEB-DA90-4016-8F8A-EF8F83695CA4}"/>
  <tableColumns count="18">
    <tableColumn id="1" xr3:uid="{EFAA9BDF-C187-4071-A170-2E91354E1C97}" uniqueName="1" name="id_massa" queryTableFieldId="1" dataDxfId="33"/>
    <tableColumn id="2" xr3:uid="{12907563-EC8D-438C-BC0C-5B30457B9EB6}" uniqueName="2" name="cpf" queryTableFieldId="2" dataDxfId="32"/>
    <tableColumn id="3" xr3:uid="{A822D368-5807-4277-985A-A33910B99AED}" uniqueName="3" name="dia_vencimento" queryTableFieldId="3" dataDxfId="31"/>
    <tableColumn id="4" xr3:uid="{84B082F4-91B3-40EB-8842-A54252BBB0EA}" uniqueName="4" name="nome_completo" queryTableFieldId="4" dataDxfId="30"/>
    <tableColumn id="5" xr3:uid="{4A0DB551-B7C9-4E3B-BFFA-EA3DFAA9A99A}" uniqueName="5" name="saldo_conta" queryTableFieldId="5" dataDxfId="29" dataCellStyle="Hiperlink"/>
    <tableColumn id="6" xr3:uid="{C71A4614-5855-4872-9A0B-BF26E38645EF}" uniqueName="6" name="limite_utilizado" queryTableFieldId="6" dataDxfId="28" dataCellStyle="Hiperlink"/>
    <tableColumn id="7" xr3:uid="{DC8C0959-F8E5-42E2-A30E-778CC5F397C9}" uniqueName="7" name="limite_disponivel" queryTableFieldId="7" dataDxfId="27" dataCellStyle="Hiperlink"/>
    <tableColumn id="8" xr3:uid="{3563F9E3-1C6C-4845-9003-DD78BFC63ECB}" uniqueName="8" name="fatura_fechada" queryTableFieldId="8" dataDxfId="26" dataCellStyle="Hiperlink"/>
    <tableColumn id="9" xr3:uid="{7C9E0334-829A-4471-AE99-899E10DCA1EA}" uniqueName="9" name="status_fatura_fechada" queryTableFieldId="9" dataDxfId="25"/>
    <tableColumn id="10" xr3:uid="{BB30A90B-54CA-409C-A6FC-CB70D4C5590A}" uniqueName="10" name="fatura_aberta" queryTableFieldId="10" dataDxfId="24" dataCellStyle="Hiperlink"/>
    <tableColumn id="11" xr3:uid="{24AA6833-6556-4FB9-8D02-DB588B732889}" uniqueName="11" name="dias_atraso" queryTableFieldId="11" dataDxfId="23"/>
    <tableColumn id="12" xr3:uid="{FA67E2F9-9C70-4D21-92F0-B2694865C1FB}" uniqueName="12" name="status" queryTableFieldId="12" dataDxfId="22"/>
    <tableColumn id="13" xr3:uid="{BC2D83A6-F0DB-4321-A490-3B9886AFC874}" uniqueName="13" name="cartao_fisico_numero" queryTableFieldId="13" dataDxfId="21"/>
    <tableColumn id="14" xr3:uid="{278FAB20-87B1-4E12-8FDA-41553213643C}" uniqueName="14" name="cartao_fisico_cvv" queryTableFieldId="14" dataDxfId="20"/>
    <tableColumn id="15" xr3:uid="{6ECEECB8-09CC-4BA6-8F39-43CA2D267091}" uniqueName="15" name="cartao_virtual_numero" queryTableFieldId="15" dataDxfId="19"/>
    <tableColumn id="16" xr3:uid="{ACFD3FBA-25A6-47DC-A584-4FDD84BE3153}" uniqueName="16" name="cartao_virtual_cvv" queryTableFieldId="16" dataDxfId="18"/>
    <tableColumn id="17" xr3:uid="{3711482D-C26C-4F44-91F2-9A583BF20AF3}" uniqueName="17" name="data_criação" queryTableFieldId="17" dataDxfId="17"/>
    <tableColumn id="18" xr3:uid="{14383015-07B8-495E-A864-31BE46042149}" uniqueName="18" name="corte" queryTableFieldId="18" dataDxfId="16">
      <calculatedColumnFormula>IF(OR(tbl_de_massas[[#This Row],[dia_vencimento]]="", tbl_de_massas[[#This Row],[dia_vencimento]]="--"), "", WORKDAY(tbl_de_massas[[#This Row],[dia_vencimento]], 5))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" row="7">
    <wetp:webextensionref xmlns:r="http://schemas.openxmlformats.org/officeDocument/2006/relationships" r:id="rId1"/>
  </wetp:taskpane>
  <wetp:taskpane dockstate="right" visibility="0" width="350" row="8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2E0621C0-A9AC-4D85-8DFD-6F51249067DC}">
  <we:reference id="wa200009404" version="1.0.0.8" store="pt-BR" storeType="OMEX"/>
  <we:alternateReferences>
    <we:reference id="WA200009404" version="1.0.0.8" store="" storeType="OMEX"/>
  </we:alternateReferences>
  <we:properties>
    <we:property name="claude.fileId" value="&quot;89966cdb-5e51-4f65-8aaa-0de70835bed2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62C90128-9D5D-468F-A984-707F303AE6FD}">
  <we:reference id="wa200010725" version="1.0.0.1" store="pt-BR" storeType="OMEX"/>
  <we:alternateReferences>
    <we:reference id="WA200010725" version="1.0.0.1" store="WA200010725" storeType="OMEX"/>
  </we:alternateReferences>
  <we:properties>
    <we:property name="claude.fileId" value="&quot;0c02caf8-dc59-4d38-af2d-d83322fd846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6890F-D010-4A55-82C9-6B278A204453}">
  <dimension ref="A1:P13"/>
  <sheetViews>
    <sheetView zoomScale="160" zoomScaleNormal="160" workbookViewId="0">
      <selection activeCell="H1" sqref="H1:O2"/>
    </sheetView>
  </sheetViews>
  <sheetFormatPr defaultRowHeight="15.75" x14ac:dyDescent="0.25"/>
  <cols>
    <col min="1" max="1" width="10.125" style="2" customWidth="1"/>
    <col min="2" max="2" width="8.625" customWidth="1"/>
    <col min="3" max="3" width="11.125" bestFit="1" customWidth="1"/>
    <col min="4" max="4" width="13.875" bestFit="1" customWidth="1"/>
    <col min="5" max="5" width="12" customWidth="1"/>
    <col min="6" max="6" width="11" customWidth="1"/>
    <col min="7" max="7" width="9.375" customWidth="1"/>
    <col min="8" max="8" width="8.75" customWidth="1"/>
    <col min="9" max="9" width="10.75" customWidth="1"/>
    <col min="10" max="10" width="10.25" customWidth="1"/>
    <col min="11" max="11" width="11.625" customWidth="1"/>
    <col min="12" max="12" width="11.625" bestFit="1" customWidth="1"/>
    <col min="13" max="13" width="17.25" customWidth="1"/>
    <col min="16" max="16" width="11.625" style="15" bestFit="1" customWidth="1"/>
  </cols>
  <sheetData>
    <row r="1" spans="1:16" s="28" customFormat="1" ht="53.45" customHeight="1" x14ac:dyDescent="0.25">
      <c r="A1" s="26" t="s">
        <v>1</v>
      </c>
      <c r="B1" s="27" t="s">
        <v>4</v>
      </c>
      <c r="C1" s="28" t="s">
        <v>5</v>
      </c>
      <c r="D1" s="25" t="s">
        <v>1294</v>
      </c>
      <c r="E1" s="25" t="s">
        <v>1297</v>
      </c>
      <c r="F1" s="25" t="s">
        <v>1298</v>
      </c>
      <c r="G1" s="25" t="s">
        <v>1299</v>
      </c>
      <c r="H1" s="25" t="s">
        <v>2667</v>
      </c>
      <c r="I1" s="25" t="s">
        <v>2668</v>
      </c>
      <c r="J1" s="25" t="s">
        <v>2669</v>
      </c>
      <c r="K1" s="25" t="s">
        <v>2901</v>
      </c>
      <c r="L1" s="28" t="s">
        <v>2500</v>
      </c>
      <c r="M1" s="28" t="s">
        <v>2900</v>
      </c>
      <c r="N1" s="33" t="s">
        <v>5825</v>
      </c>
      <c r="O1" s="33" t="s">
        <v>5826</v>
      </c>
    </row>
    <row r="2" spans="1:16" x14ac:dyDescent="0.25">
      <c r="A2" s="2" t="s">
        <v>28</v>
      </c>
      <c r="B2" t="str">
        <f>_xlfn.XLOOKUP($A2,TBL_CENARIOS[ID_CENARIO],TBL_CENARIOS[ID_MASSA],"--",0,1)</f>
        <v>0401</v>
      </c>
      <c r="C2" s="19" t="str">
        <f>_xlfn.XLOOKUP($A2,TBL_CENARIOS[ID_CENARIO],TBL_CENARIOS[CPF],"--",0,1)</f>
        <v>38750991256</v>
      </c>
      <c r="D2" s="21">
        <f>_xlfn.XLOOKUP(TBL_FATURA[[#This Row],[ID_MASSA]],tbl_de_massas[id_massa],tbl_de_massas[saldo_conta],"--",0,1)</f>
        <v>6199.36</v>
      </c>
      <c r="E2" s="21">
        <f>_xlfn.XLOOKUP(TBL_FATURA[[#This Row],[ID_MASSA]],tbl_de_massas[id_massa],tbl_de_massas[fatura_fechada],"--",0,1)</f>
        <v>3870.86</v>
      </c>
      <c r="F2" s="21">
        <f>_xlfn.XLOOKUP(TBL_FATURA[[#This Row],[ID_MASSA]],tbl_de_massas[id_massa],tbl_de_massas[fatura_aberta],"--",0,1)</f>
        <v>4692.63</v>
      </c>
      <c r="G2" s="22" t="str">
        <f>_xlfn.XLOOKUP(TBL_FATURA[[#This Row],[ID_MASSA]],tbl_de_massas[id_massa],tbl_de_massas[dias_atraso],"--",0,1)</f>
        <v>16</v>
      </c>
      <c r="H2" s="21">
        <f>VALUE(_xlfn.XLOOKUP(TBL_FATURA[[#This Row],[ID_MASSA]],tbl_de_massas[id_massa],tbl_de_massas[fatura_fechada],"--",0,1)*0.1)</f>
        <v>387.08600000000001</v>
      </c>
      <c r="I2" s="21">
        <f>VALUE(_xlfn.XLOOKUP(TBL_FATURA[[#This Row],[ID_MASSA]],tbl_de_massas[id_massa],tbl_de_massas[saldo_conta],"--",0,1)*0.25)</f>
        <v>1549.84</v>
      </c>
      <c r="J2" s="21">
        <f>VALUE(_xlfn.XLOOKUP(TBL_FATURA[[#This Row],[ID_MASSA]],tbl_de_massas[id_massa],tbl_de_massas[saldo_conta],"--",0,1)*0.02)</f>
        <v>123.9872</v>
      </c>
      <c r="K2" s="21">
        <f>VALUE(_xlfn.XLOOKUP(TBL_FATURA[[#This Row],[ID_MASSA]],tbl_de_massas[id_massa],tbl_de_massas[saldo_conta],"--",0,1)*0.099)</f>
        <v>613.73663999999997</v>
      </c>
      <c r="L2" s="15" t="str">
        <f>_xlfn.XLOOKUP(TBL_FATURA[[#This Row],[ID_MASSA]],tbl_de_massas[id_massa],tbl_de_massas[status],"--",0,1)</f>
        <v>inadimplente</v>
      </c>
      <c r="M2" s="21" t="str">
        <f>_xlfn.XLOOKUP(TBL_FATURA[[#This Row],[ID_MASSA]],tbl_de_massas[id_massa],tbl_de_massas[status_fatura_fechada],"--",0,1)</f>
        <v>ABERTA</v>
      </c>
      <c r="N2" s="35" t="str">
        <f>_xlfn.XLOOKUP(TBL_FATURA[[#This Row],[ID_MASSA]],tbl_de_massas[id_massa],tbl_de_massas[dia_vencimento],"--",0,1)</f>
        <v>20</v>
      </c>
      <c r="O2" s="34">
        <f>IF(TBL_FATURA[[#This Row],[venc.]]+5&gt;31,TBL_FATURA[[#This Row],[venc.]]+5-31,TBL_FATURA[[#This Row],[venc.]]+5)</f>
        <v>25</v>
      </c>
      <c r="P2"/>
    </row>
    <row r="3" spans="1:16" x14ac:dyDescent="0.25">
      <c r="A3" s="2" t="s">
        <v>2349</v>
      </c>
      <c r="B3" t="str">
        <f>_xlfn.XLOOKUP($A3,TBL_CENARIOS[ID_CENARIO],TBL_CENARIOS[ID_MASSA],"--",0,1)</f>
        <v>0147</v>
      </c>
      <c r="C3" s="18" t="str">
        <f>_xlfn.XLOOKUP($A3,TBL_CENARIOS[ID_CENARIO],TBL_CENARIOS[CPF],"--",0,1)</f>
        <v>13912221138</v>
      </c>
      <c r="D3" s="21">
        <f>_xlfn.XLOOKUP(TBL_FATURA[[#This Row],[ID_MASSA]],tbl_de_massas[id_massa],tbl_de_massas[saldo_conta],"--",0,1)</f>
        <v>2559.06</v>
      </c>
      <c r="E3" s="21">
        <f>_xlfn.XLOOKUP(TBL_FATURA[[#This Row],[ID_MASSA]],tbl_de_massas[id_massa],tbl_de_massas[fatura_fechada],"--",0,1)</f>
        <v>3870.86</v>
      </c>
      <c r="F3" s="21">
        <f>_xlfn.XLOOKUP(TBL_FATURA[[#This Row],[ID_MASSA]],tbl_de_massas[id_massa],tbl_de_massas[fatura_aberta],"--",0,1)</f>
        <v>5290.38</v>
      </c>
      <c r="G3" s="22" t="str">
        <f>_xlfn.XLOOKUP(TBL_FATURA[[#This Row],[ID_MASSA]],tbl_de_massas[id_massa],tbl_de_massas[dias_atraso],"--",0,1)</f>
        <v>43</v>
      </c>
      <c r="H3" s="21">
        <f>VALUE(_xlfn.XLOOKUP(TBL_FATURA[[#This Row],[ID_MASSA]],tbl_de_massas[id_massa],tbl_de_massas[fatura_fechada],"--",0,1)*0.1)</f>
        <v>387.08600000000001</v>
      </c>
      <c r="I3" s="21">
        <f>VALUE(_xlfn.XLOOKUP(TBL_FATURA[[#This Row],[ID_MASSA]],tbl_de_massas[id_massa],tbl_de_massas[saldo_conta],"--",0,1)*0.25)</f>
        <v>639.76499999999999</v>
      </c>
      <c r="J3" s="21">
        <f>VALUE(_xlfn.XLOOKUP(TBL_FATURA[[#This Row],[ID_MASSA]],tbl_de_massas[id_massa],tbl_de_massas[saldo_conta],"--",0,1)*0.02)</f>
        <v>51.181199999999997</v>
      </c>
      <c r="K3" s="21">
        <f>VALUE(_xlfn.XLOOKUP(TBL_FATURA[[#This Row],[ID_MASSA]],tbl_de_massas[id_massa],tbl_de_massas[saldo_conta],"--",0,1)*0.099)</f>
        <v>253.34694000000002</v>
      </c>
      <c r="L3" s="15" t="str">
        <f>_xlfn.XLOOKUP(TBL_FATURA[[#This Row],[ID_MASSA]],tbl_de_massas[id_massa],tbl_de_massas[status],"--",0,1)</f>
        <v>inadimplente</v>
      </c>
      <c r="M3" s="21" t="str">
        <f>_xlfn.XLOOKUP(TBL_FATURA[[#This Row],[ID_MASSA]],tbl_de_massas[id_massa],tbl_de_massas[status_fatura_fechada],"--",0,1)</f>
        <v>ABERTA</v>
      </c>
      <c r="N3" s="35" t="str">
        <f>_xlfn.XLOOKUP(TBL_FATURA[[#This Row],[ID_MASSA]],tbl_de_massas[id_massa],tbl_de_massas[dia_vencimento],"--",0,1)</f>
        <v>25</v>
      </c>
      <c r="O3" s="34">
        <f>IF(TBL_FATURA[[#This Row],[venc.]]+5&gt;31,TBL_FATURA[[#This Row],[venc.]]+5-31,TBL_FATURA[[#This Row],[venc.]]+5)</f>
        <v>30</v>
      </c>
      <c r="P3"/>
    </row>
    <row r="4" spans="1:16" x14ac:dyDescent="0.25">
      <c r="A4" s="2" t="s">
        <v>2350</v>
      </c>
      <c r="B4" s="2" t="str">
        <f>_xlfn.XLOOKUP($A4,TBL_CENARIOS[ID_CENARIO],TBL_CENARIOS[ID_MASSA],"--",0,1)</f>
        <v>0145</v>
      </c>
      <c r="C4" s="1" t="str">
        <f>_xlfn.XLOOKUP($A4,TBL_CENARIOS[ID_CENARIO],TBL_CENARIOS[CPF],"--",0,1)</f>
        <v>79990005907</v>
      </c>
      <c r="D4" s="21">
        <f>_xlfn.XLOOKUP(TBL_FATURA[[#This Row],[ID_MASSA]],tbl_de_massas[id_massa],tbl_de_massas[saldo_conta],"--",0,1)</f>
        <v>3690.43</v>
      </c>
      <c r="E4" s="21">
        <f>_xlfn.XLOOKUP(TBL_FATURA[[#This Row],[ID_MASSA]],tbl_de_massas[id_massa],tbl_de_massas[fatura_fechada],"--",0,1)</f>
        <v>995.15</v>
      </c>
      <c r="F4" s="21">
        <f>_xlfn.XLOOKUP(TBL_FATURA[[#This Row],[ID_MASSA]],tbl_de_massas[id_massa],tbl_de_massas[fatura_aberta],"--",0,1)</f>
        <v>1085.07</v>
      </c>
      <c r="G4" s="22" t="str">
        <f>_xlfn.XLOOKUP(TBL_FATURA[[#This Row],[ID_MASSA]],tbl_de_massas[id_massa],tbl_de_massas[dias_atraso],"--",0,1)</f>
        <v>12</v>
      </c>
      <c r="H4" s="21">
        <f>VALUE(_xlfn.XLOOKUP(TBL_FATURA[[#This Row],[ID_MASSA]],tbl_de_massas[id_massa],tbl_de_massas[fatura_fechada],"--",0,1)*0.1)</f>
        <v>99.515000000000001</v>
      </c>
      <c r="I4" s="21">
        <f>VALUE(_xlfn.XLOOKUP(TBL_FATURA[[#This Row],[ID_MASSA]],tbl_de_massas[id_massa],tbl_de_massas[saldo_conta],"--",0,1)*0.25)</f>
        <v>922.60749999999996</v>
      </c>
      <c r="J4" s="21">
        <f>VALUE(_xlfn.XLOOKUP(TBL_FATURA[[#This Row],[ID_MASSA]],tbl_de_massas[id_massa],tbl_de_massas[saldo_conta],"--",0,1)*0.02)</f>
        <v>73.808599999999998</v>
      </c>
      <c r="K4" s="21">
        <f>VALUE(_xlfn.XLOOKUP(TBL_FATURA[[#This Row],[ID_MASSA]],tbl_de_massas[id_massa],tbl_de_massas[saldo_conta],"--",0,1)*0.099)</f>
        <v>365.35257000000001</v>
      </c>
      <c r="L4" s="15" t="str">
        <f>_xlfn.XLOOKUP(TBL_FATURA[[#This Row],[ID_MASSA]],tbl_de_massas[id_massa],tbl_de_massas[status],"--",0,1)</f>
        <v>inadimplente</v>
      </c>
      <c r="M4" s="21" t="str">
        <f>_xlfn.XLOOKUP(TBL_FATURA[[#This Row],[ID_MASSA]],tbl_de_massas[id_massa],tbl_de_massas[status_fatura_fechada],"--",0,1)</f>
        <v>ABERTA</v>
      </c>
      <c r="N4" s="35" t="str">
        <f>_xlfn.XLOOKUP(TBL_FATURA[[#This Row],[ID_MASSA]],tbl_de_massas[id_massa],tbl_de_massas[dia_vencimento],"--",0,1)</f>
        <v>5</v>
      </c>
      <c r="O4" s="34">
        <f>IF(TBL_FATURA[[#This Row],[venc.]]+5&gt;31,TBL_FATURA[[#This Row],[venc.]]+5-31,TBL_FATURA[[#This Row],[venc.]]+5)</f>
        <v>10</v>
      </c>
      <c r="P4"/>
    </row>
    <row r="5" spans="1:16" x14ac:dyDescent="0.25">
      <c r="A5" s="2" t="s">
        <v>2494</v>
      </c>
      <c r="B5" s="2" t="str">
        <f>_xlfn.XLOOKUP($A5,TBL_CENARIOS[ID_CENARIO],TBL_CENARIOS[ID_MASSA],"--",0,1)</f>
        <v>0148</v>
      </c>
      <c r="C5" s="19" t="str">
        <f>_xlfn.XLOOKUP($A5,TBL_CENARIOS[ID_CENARIO],TBL_CENARIOS[CPF],"--",0,1)</f>
        <v>16618184630</v>
      </c>
      <c r="D5" s="21">
        <f>_xlfn.XLOOKUP(TBL_FATURA[[#This Row],[ID_MASSA]],tbl_de_massas[id_massa],tbl_de_massas[saldo_conta],"--",0,1)</f>
        <v>1951.23</v>
      </c>
      <c r="E5" s="21">
        <f>_xlfn.XLOOKUP(TBL_FATURA[[#This Row],[ID_MASSA]],tbl_de_massas[id_massa],tbl_de_massas[fatura_fechada],"--",0,1)</f>
        <v>310.31</v>
      </c>
      <c r="F5" s="21">
        <f>_xlfn.XLOOKUP(TBL_FATURA[[#This Row],[ID_MASSA]],tbl_de_massas[id_massa],tbl_de_massas[fatura_aberta],"--",0,1)</f>
        <v>5067.59</v>
      </c>
      <c r="G5" s="22" t="str">
        <f>_xlfn.XLOOKUP(TBL_FATURA[[#This Row],[ID_MASSA]],tbl_de_massas[id_massa],tbl_de_massas[dias_atraso],"--",0,1)</f>
        <v>43</v>
      </c>
      <c r="H5" s="21">
        <f>VALUE(_xlfn.XLOOKUP(TBL_FATURA[[#This Row],[ID_MASSA]],tbl_de_massas[id_massa],tbl_de_massas[fatura_fechada],"--",0,1)*0.1)</f>
        <v>31.031000000000002</v>
      </c>
      <c r="I5" s="21">
        <f>VALUE(_xlfn.XLOOKUP(TBL_FATURA[[#This Row],[ID_MASSA]],tbl_de_massas[id_massa],tbl_de_massas[saldo_conta],"--",0,1)*0.25)</f>
        <v>487.8075</v>
      </c>
      <c r="J5" s="21">
        <f>VALUE(_xlfn.XLOOKUP(TBL_FATURA[[#This Row],[ID_MASSA]],tbl_de_massas[id_massa],tbl_de_massas[saldo_conta],"--",0,1)*0.02)</f>
        <v>39.0246</v>
      </c>
      <c r="K5" s="21">
        <f>VALUE(_xlfn.XLOOKUP(TBL_FATURA[[#This Row],[ID_MASSA]],tbl_de_massas[id_massa],tbl_de_massas[saldo_conta],"--",0,1)*0.099)</f>
        <v>193.17177000000001</v>
      </c>
      <c r="L5" s="15" t="str">
        <f>_xlfn.XLOOKUP(TBL_FATURA[[#This Row],[ID_MASSA]],tbl_de_massas[id_massa],tbl_de_massas[status],"--",0,1)</f>
        <v>inadimplente</v>
      </c>
      <c r="M5" s="21" t="str">
        <f>_xlfn.XLOOKUP(TBL_FATURA[[#This Row],[ID_MASSA]],tbl_de_massas[id_massa],tbl_de_massas[status_fatura_fechada],"--",0,1)</f>
        <v>ABERTA</v>
      </c>
      <c r="N5" s="35" t="str">
        <f>_xlfn.XLOOKUP(TBL_FATURA[[#This Row],[ID_MASSA]],tbl_de_massas[id_massa],tbl_de_massas[dia_vencimento],"--",0,1)</f>
        <v>5</v>
      </c>
      <c r="O5" s="34">
        <f>IF(TBL_FATURA[[#This Row],[venc.]]+5&gt;31,TBL_FATURA[[#This Row],[venc.]]+5-31,TBL_FATURA[[#This Row],[venc.]]+5)</f>
        <v>10</v>
      </c>
      <c r="P5"/>
    </row>
    <row r="6" spans="1:16" x14ac:dyDescent="0.25">
      <c r="A6" s="2" t="s">
        <v>2495</v>
      </c>
      <c r="B6" s="2" t="str">
        <f>_xlfn.XLOOKUP($A6,TBL_CENARIOS[ID_CENARIO],TBL_CENARIOS[ID_MASSA],"--",0,1)</f>
        <v>0405</v>
      </c>
      <c r="C6" s="18" t="str">
        <f>_xlfn.XLOOKUP($A6,TBL_CENARIOS[ID_CENARIO],TBL_CENARIOS[CPF],"--",0,1)</f>
        <v>03671429887</v>
      </c>
      <c r="D6" s="21">
        <f>_xlfn.XLOOKUP(TBL_FATURA[[#This Row],[ID_MASSA]],tbl_de_massas[id_massa],tbl_de_massas[saldo_conta],"--",0,1)</f>
        <v>11318.34</v>
      </c>
      <c r="E6" s="21">
        <f>_xlfn.XLOOKUP(TBL_FATURA[[#This Row],[ID_MASSA]],tbl_de_massas[id_massa],tbl_de_massas[fatura_fechada],"--",0,1)</f>
        <v>3870.86</v>
      </c>
      <c r="F6" s="21">
        <f>_xlfn.XLOOKUP(TBL_FATURA[[#This Row],[ID_MASSA]],tbl_de_massas[id_massa],tbl_de_massas[fatura_aberta],"--",0,1)</f>
        <v>4854.55</v>
      </c>
      <c r="G6" s="22" t="str">
        <f>_xlfn.XLOOKUP(TBL_FATURA[[#This Row],[ID_MASSA]],tbl_de_massas[id_massa],tbl_de_massas[dias_atraso],"--",0,1)</f>
        <v>16</v>
      </c>
      <c r="H6" s="21">
        <f>VALUE(_xlfn.XLOOKUP(TBL_FATURA[[#This Row],[ID_MASSA]],tbl_de_massas[id_massa],tbl_de_massas[fatura_fechada],"--",0,1)*0.1)</f>
        <v>387.08600000000001</v>
      </c>
      <c r="I6" s="21">
        <f>VALUE(_xlfn.XLOOKUP(TBL_FATURA[[#This Row],[ID_MASSA]],tbl_de_massas[id_massa],tbl_de_massas[saldo_conta],"--",0,1)*0.25)</f>
        <v>2829.585</v>
      </c>
      <c r="J6" s="21">
        <f>VALUE(_xlfn.XLOOKUP(TBL_FATURA[[#This Row],[ID_MASSA]],tbl_de_massas[id_massa],tbl_de_massas[saldo_conta],"--",0,1)*0.02)</f>
        <v>226.36680000000001</v>
      </c>
      <c r="K6" s="21">
        <f>VALUE(_xlfn.XLOOKUP(TBL_FATURA[[#This Row],[ID_MASSA]],tbl_de_massas[id_massa],tbl_de_massas[saldo_conta],"--",0,1)*0.099)</f>
        <v>1120.51566</v>
      </c>
      <c r="L6" s="15" t="str">
        <f>_xlfn.XLOOKUP(TBL_FATURA[[#This Row],[ID_MASSA]],tbl_de_massas[id_massa],tbl_de_massas[status],"--",0,1)</f>
        <v>inadimplente</v>
      </c>
      <c r="M6" s="21" t="str">
        <f>_xlfn.XLOOKUP(TBL_FATURA[[#This Row],[ID_MASSA]],tbl_de_massas[id_massa],tbl_de_massas[status_fatura_fechada],"--",0,1)</f>
        <v>ABERTA</v>
      </c>
      <c r="N6" s="35" t="str">
        <f>_xlfn.XLOOKUP(TBL_FATURA[[#This Row],[ID_MASSA]],tbl_de_massas[id_massa],tbl_de_massas[dia_vencimento],"--",0,1)</f>
        <v>15</v>
      </c>
      <c r="O6" s="34">
        <f>IF(TBL_FATURA[[#This Row],[venc.]]+5&gt;31,TBL_FATURA[[#This Row],[venc.]]+5-31,TBL_FATURA[[#This Row],[venc.]]+5)</f>
        <v>20</v>
      </c>
      <c r="P6"/>
    </row>
    <row r="12" spans="1:16" x14ac:dyDescent="0.25">
      <c r="F12">
        <v>3394.72</v>
      </c>
      <c r="G12">
        <v>821.43</v>
      </c>
    </row>
    <row r="13" spans="1:16" x14ac:dyDescent="0.25">
      <c r="F13">
        <f>F12-G12</f>
        <v>2573.29</v>
      </c>
    </row>
  </sheetData>
  <phoneticPr fontId="7" type="noConversion"/>
  <conditionalFormatting sqref="D2:D6">
    <cfRule type="cellIs" dxfId="15" priority="3" operator="greaterThan">
      <formula>$E2</formula>
    </cfRule>
  </conditionalFormatting>
  <conditionalFormatting sqref="F6">
    <cfRule type="cellIs" dxfId="14" priority="1" operator="equal">
      <formula>$F$13</formula>
    </cfRule>
  </conditionalFormatting>
  <conditionalFormatting sqref="K2:K6">
    <cfRule type="cellIs" dxfId="13" priority="2" operator="greaterThan">
      <formula>$H2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"/>
  <sheetViews>
    <sheetView tabSelected="1" zoomScale="110" zoomScaleNormal="110" workbookViewId="0">
      <pane xSplit="8" ySplit="1" topLeftCell="J2" activePane="bottomRight" state="frozen"/>
      <selection pane="topRight" activeCell="I1" sqref="I1"/>
      <selection pane="bottomLeft" activeCell="A2" sqref="A2"/>
      <selection pane="bottomRight" activeCell="N2" sqref="N2:Q2"/>
    </sheetView>
  </sheetViews>
  <sheetFormatPr defaultRowHeight="15.75" x14ac:dyDescent="0.25"/>
  <cols>
    <col min="1" max="1" width="4.875" customWidth="1"/>
    <col min="2" max="2" width="11" customWidth="1"/>
    <col min="3" max="3" width="42.5" bestFit="1" customWidth="1"/>
    <col min="4" max="4" width="9" customWidth="1"/>
    <col min="5" max="5" width="9.75" style="2" customWidth="1"/>
    <col min="6" max="6" width="10.75" bestFit="1" customWidth="1"/>
    <col min="7" max="7" width="9.25" bestFit="1" customWidth="1"/>
    <col min="8" max="8" width="13.25" bestFit="1" customWidth="1"/>
    <col min="9" max="9" width="10.625" bestFit="1" customWidth="1"/>
    <col min="10" max="10" width="9" customWidth="1"/>
    <col min="11" max="11" width="8.875" customWidth="1"/>
    <col min="12" max="12" width="7.75" customWidth="1"/>
    <col min="13" max="13" width="8.25" hidden="1" customWidth="1"/>
    <col min="14" max="14" width="10.75" bestFit="1" customWidth="1"/>
    <col min="15" max="15" width="13.875" bestFit="1" customWidth="1"/>
    <col min="16" max="16" width="11" customWidth="1"/>
    <col min="17" max="17" width="12.125" style="39" bestFit="1" customWidth="1"/>
    <col min="18" max="18" width="11.75" bestFit="1" customWidth="1"/>
    <col min="19" max="19" width="11.625" bestFit="1" customWidth="1"/>
    <col min="20" max="20" width="11.75" bestFit="1" customWidth="1"/>
    <col min="21" max="21" width="10.625" bestFit="1" customWidth="1"/>
    <col min="22" max="22" width="18.875" bestFit="1" customWidth="1"/>
    <col min="23" max="23" width="10.625" bestFit="1" customWidth="1"/>
    <col min="25" max="25" width="5.375" customWidth="1"/>
    <col min="26" max="26" width="10.625" bestFit="1" customWidth="1"/>
  </cols>
  <sheetData>
    <row r="1" spans="1:23" s="40" customFormat="1" ht="41.25" customHeight="1" x14ac:dyDescent="0.25">
      <c r="A1" s="40" t="s">
        <v>0</v>
      </c>
      <c r="B1" s="40" t="s">
        <v>1</v>
      </c>
      <c r="C1" s="40" t="s">
        <v>2</v>
      </c>
      <c r="D1" s="40" t="s">
        <v>3</v>
      </c>
      <c r="E1" s="41" t="s">
        <v>4</v>
      </c>
      <c r="F1" s="40" t="s">
        <v>5</v>
      </c>
      <c r="G1" s="40" t="s">
        <v>6</v>
      </c>
      <c r="H1" s="42" t="s">
        <v>1294</v>
      </c>
      <c r="I1" s="43" t="s">
        <v>2261</v>
      </c>
      <c r="J1" s="42" t="s">
        <v>1295</v>
      </c>
      <c r="K1" s="42" t="s">
        <v>1296</v>
      </c>
      <c r="L1" s="42" t="s">
        <v>1297</v>
      </c>
      <c r="M1" s="42" t="s">
        <v>1298</v>
      </c>
      <c r="N1" s="40" t="s">
        <v>2667</v>
      </c>
      <c r="O1" s="44" t="s">
        <v>2668</v>
      </c>
      <c r="P1" s="40" t="s">
        <v>2669</v>
      </c>
      <c r="Q1" s="40" t="s">
        <v>2901</v>
      </c>
      <c r="R1" s="40" t="s">
        <v>2500</v>
      </c>
      <c r="S1" s="40" t="s">
        <v>2900</v>
      </c>
      <c r="T1" s="40" t="s">
        <v>5825</v>
      </c>
      <c r="U1" s="40" t="s">
        <v>5826</v>
      </c>
      <c r="V1" s="42" t="s">
        <v>1299</v>
      </c>
      <c r="W1" s="40" t="s">
        <v>2358</v>
      </c>
    </row>
    <row r="2" spans="1:23" x14ac:dyDescent="0.25">
      <c r="A2" s="15">
        <v>1</v>
      </c>
      <c r="B2" s="15" t="s">
        <v>7</v>
      </c>
      <c r="C2" s="15" t="s">
        <v>8</v>
      </c>
      <c r="D2" s="15" t="s">
        <v>9</v>
      </c>
      <c r="E2" s="16" t="s">
        <v>2496</v>
      </c>
      <c r="F2" s="17" t="s">
        <v>11</v>
      </c>
      <c r="G2" s="15" t="s">
        <v>12</v>
      </c>
      <c r="H2" s="20" t="str">
        <f>_xlfn.XLOOKUP(TBL_CENARIOS[[#This Row],[ID_MASSA]],tbl_de_massas[id_massa],tbl_de_massas[saldo_conta],"--",0,1)</f>
        <v>--</v>
      </c>
      <c r="I2" s="38"/>
      <c r="J2" s="38" t="str">
        <f>_xlfn.XLOOKUP(TBL_CENARIOS[[#This Row],[ID_MASSA]],tbl_de_massas[id_massa],tbl_de_massas[limite_utilizado],"--",0,1)</f>
        <v>--</v>
      </c>
      <c r="K2" s="38" t="str">
        <f>_xlfn.XLOOKUP(TBL_CENARIOS[[#This Row],[ID_MASSA]],tbl_de_massas[id_massa],tbl_de_massas[limite_disponivel],"--",0,1)</f>
        <v>--</v>
      </c>
      <c r="L2" s="45" t="str">
        <f>_xlfn.XLOOKUP(TBL_CENARIOS[[#This Row],[ID_MASSA]],tbl_de_massas[id_massa],tbl_de_massas[fatura_fechada],"--",0,1)</f>
        <v>--</v>
      </c>
      <c r="M2" s="45" t="str">
        <f>_xlfn.XLOOKUP(TBL_CENARIOS[[#This Row],[ID_MASSA]],tbl_de_massas[id_massa],tbl_de_massas[fatura_aberta],"--",0,1)</f>
        <v>--</v>
      </c>
      <c r="N2" s="45"/>
      <c r="O2" s="45"/>
      <c r="P2" s="46"/>
      <c r="Q2" s="45"/>
      <c r="R2" s="15" t="str">
        <f>_xlfn.XLOOKUP(TBL_CENARIOS[[#This Row],[ID_MASSA]],tbl_de_massas[id_massa],tbl_de_massas[status],"--",0,1)</f>
        <v>--</v>
      </c>
      <c r="S2" s="15" t="str">
        <f>_xlfn.XLOOKUP(TBL_CENARIOS[[#This Row],[ID_MASSA]],tbl_de_massas[id_massa],tbl_de_massas[status_fatura_fechada],"--",0,1)</f>
        <v>--</v>
      </c>
      <c r="T2" s="15" t="str">
        <f>_xlfn.XLOOKUP(TBL_FATURA[[#This Row],[ID_MASSA]],tbl_de_massas[id_massa],tbl_de_massas[dia_vencimento],"--",0,1)</f>
        <v>20</v>
      </c>
      <c r="U2" s="15">
        <f>IF(TBL_FATURA[[#This Row],[venc.]]+5&gt;31,TBL_FATURA[[#This Row],[venc.]]+5-31,TBL_FATURA[[#This Row],[venc.]]+5)</f>
        <v>25</v>
      </c>
      <c r="V2" s="15" t="str">
        <f>_xlfn.XLOOKUP(TBL_CENARIOS[[#This Row],[ID_MASSA]],tbl_de_massas[id_massa],tbl_de_massas[dias_atraso],"--",0,1)</f>
        <v>--</v>
      </c>
      <c r="W2" s="15"/>
    </row>
    <row r="3" spans="1:23" x14ac:dyDescent="0.25">
      <c r="A3" s="15">
        <v>2</v>
      </c>
      <c r="B3" s="15" t="s">
        <v>13</v>
      </c>
      <c r="C3" s="15" t="s">
        <v>14</v>
      </c>
      <c r="D3" s="15" t="s">
        <v>9</v>
      </c>
      <c r="E3" s="16" t="s">
        <v>2342</v>
      </c>
      <c r="F3" s="17" t="str">
        <f>_xlfn.XLOOKUP(TBL_CENARIOS[[#This Row],[ID_MASSA]],tbl_de_massas[id_massa],tbl_de_massas[cpf],"--",0,1)</f>
        <v>38160081359</v>
      </c>
      <c r="G3" s="15" t="s">
        <v>12</v>
      </c>
      <c r="H3" s="20">
        <f>_xlfn.XLOOKUP(TBL_CENARIOS[[#This Row],[ID_MASSA]],tbl_de_massas[id_massa],tbl_de_massas[saldo_conta],"--",0,1)</f>
        <v>64817.760000000002</v>
      </c>
      <c r="I3" s="38"/>
      <c r="J3" s="38">
        <f>_xlfn.XLOOKUP(TBL_CENARIOS[[#This Row],[ID_MASSA]],tbl_de_massas[id_massa],tbl_de_massas[limite_utilizado],"--",0,1)</f>
        <v>837.65</v>
      </c>
      <c r="K3" s="38">
        <f>_xlfn.XLOOKUP(TBL_CENARIOS[[#This Row],[ID_MASSA]],tbl_de_massas[id_massa],tbl_de_massas[limite_disponivel],"--",0,1)</f>
        <v>1402.82</v>
      </c>
      <c r="L3" s="45">
        <f>_xlfn.XLOOKUP(TBL_CENARIOS[[#This Row],[ID_MASSA]],tbl_de_massas[id_massa],tbl_de_massas[fatura_fechada],"--",0,1)</f>
        <v>159.13</v>
      </c>
      <c r="M3" s="45">
        <f>_xlfn.XLOOKUP(TBL_CENARIOS[[#This Row],[ID_MASSA]],tbl_de_massas[id_massa],tbl_de_massas[fatura_aberta],"--",0,1)</f>
        <v>837.65</v>
      </c>
      <c r="N3" s="46">
        <f>VALUE(_xlfn.XLOOKUP(TBL_CENARIOS[[#This Row],[ID_MASSA]],tbl_de_massas[id_massa],tbl_de_massas[fatura_fechada],"--",0,1)*0.1)</f>
        <v>15.913</v>
      </c>
      <c r="O3" s="46">
        <f>VALUE(_xlfn.XLOOKUP(TBL_CENARIOS[[#This Row],[ID_MASSA]],tbl_de_massas[id_massa],tbl_de_massas[saldo_conta],"--",0,1)*0.25)</f>
        <v>16204.44</v>
      </c>
      <c r="P3" s="46">
        <f>VALUE(_xlfn.XLOOKUP(TBL_CENARIOS[[#This Row],[ID_MASSA]],tbl_de_massas[id_massa],tbl_de_massas[saldo_conta],"--",0,1)*0.007)</f>
        <v>453.72432000000003</v>
      </c>
      <c r="Q3" s="46">
        <f>VALUE(_xlfn.XLOOKUP(TBL_CENARIOS[[#This Row],[ID_MASSA]],tbl_de_massas[id_massa],tbl_de_massas[saldo_conta],"--",0,1)*0.099)</f>
        <v>6416.9582400000008</v>
      </c>
      <c r="R3" s="15" t="str">
        <f>_xlfn.XLOOKUP(TBL_CENARIOS[[#This Row],[ID_MASSA]],tbl_de_massas[id_massa],tbl_de_massas[status],"--",0,1)</f>
        <v>inadimplente</v>
      </c>
      <c r="S3" s="15" t="str">
        <f>_xlfn.XLOOKUP(TBL_CENARIOS[[#This Row],[ID_MASSA]],tbl_de_massas[id_massa],tbl_de_massas[status_fatura_fechada],"--",0,1)</f>
        <v>ABERTA</v>
      </c>
      <c r="T3" s="37">
        <f ca="1">_xlfn.LET(_xlpm.dia, _xlfn.XLOOKUP(TBL_CENARIOS[[#This Row],[ID_MASSA]],tbl_de_massas[id_massa],tbl_de_massas[dia_vencimento],""),
IF(OR(_xlpm.dia="", _xlpm.dia="--"),"", DATE(YEAR(TODAY()),MONTH(TODAY()), _xlpm.dia)))</f>
        <v>46270</v>
      </c>
      <c r="U3" s="37">
        <f ca="1">IF(OR(TBL_CENARIOS[[#This Row],[venc.]]="", TBL_CENARIOS[[#This Row],[venc.]]="--"), "", WORKDAY(TBL_CENARIOS[[#This Row],[venc.]], 5))</f>
        <v>46276</v>
      </c>
      <c r="V3" s="15" t="str">
        <f>_xlfn.XLOOKUP(TBL_CENARIOS[[#This Row],[ID_MASSA]],tbl_de_massas[id_massa],tbl_de_massas[dias_atraso],"--",0,1)</f>
        <v>12</v>
      </c>
      <c r="W3" s="15">
        <v>9898</v>
      </c>
    </row>
    <row r="4" spans="1:23" x14ac:dyDescent="0.25">
      <c r="A4" s="15">
        <v>3</v>
      </c>
      <c r="B4" s="15" t="s">
        <v>16</v>
      </c>
      <c r="C4" s="15" t="s">
        <v>17</v>
      </c>
      <c r="D4" s="15" t="s">
        <v>9</v>
      </c>
      <c r="E4" s="16" t="s">
        <v>18</v>
      </c>
      <c r="F4" s="17" t="str">
        <f>_xlfn.XLOOKUP(TBL_CENARIOS[[#This Row],[ID_MASSA]],tbl_de_massas[id_massa],tbl_de_massas[cpf],"--",0,1)</f>
        <v>53281863159</v>
      </c>
      <c r="G4" s="15" t="s">
        <v>12</v>
      </c>
      <c r="H4" s="20">
        <f>_xlfn.XLOOKUP(TBL_CENARIOS[[#This Row],[ID_MASSA]],tbl_de_massas[id_massa],tbl_de_massas[saldo_conta],"--",0,1)</f>
        <v>1000</v>
      </c>
      <c r="I4" s="38"/>
      <c r="J4" s="38">
        <f>_xlfn.XLOOKUP(TBL_CENARIOS[[#This Row],[ID_MASSA]],tbl_de_massas[id_massa],tbl_de_massas[limite_utilizado],"--",0,1)</f>
        <v>1523.8</v>
      </c>
      <c r="K4" s="38">
        <f>_xlfn.XLOOKUP(TBL_CENARIOS[[#This Row],[ID_MASSA]],tbl_de_massas[id_massa],tbl_de_massas[limite_disponivel],"--",0,1)</f>
        <v>3476.2</v>
      </c>
      <c r="L4" s="46">
        <f>_xlfn.XLOOKUP(TBL_CENARIOS[[#This Row],[ID_MASSA]],tbl_de_massas[id_massa],tbl_de_massas[fatura_fechada],"--",0,1)</f>
        <v>0</v>
      </c>
      <c r="M4" s="45">
        <f>_xlfn.XLOOKUP(TBL_CENARIOS[[#This Row],[ID_MASSA]],tbl_de_massas[id_massa],tbl_de_massas[fatura_aberta],"--",0,1)</f>
        <v>468.75</v>
      </c>
      <c r="N4" s="46">
        <f>VALUE(_xlfn.XLOOKUP(TBL_CENARIOS[[#This Row],[ID_MASSA]],tbl_de_massas[id_massa],tbl_de_massas[fatura_fechada],"--",0,1)*0.1)</f>
        <v>0</v>
      </c>
      <c r="O4" s="46">
        <f>VALUE(_xlfn.XLOOKUP(TBL_CENARIOS[[#This Row],[ID_MASSA]],tbl_de_massas[id_massa],tbl_de_massas[saldo_conta],"--",0,1)*0.25)</f>
        <v>250</v>
      </c>
      <c r="P4" s="46">
        <f>VALUE(_xlfn.XLOOKUP(TBL_CENARIOS[[#This Row],[ID_MASSA]],tbl_de_massas[id_massa],tbl_de_massas[saldo_conta],"--",0,1)*0.007)</f>
        <v>7</v>
      </c>
      <c r="Q4" s="46">
        <f>VALUE(_xlfn.XLOOKUP(TBL_CENARIOS[[#This Row],[ID_MASSA]],tbl_de_massas[id_massa],tbl_de_massas[saldo_conta],"--",0,1)*0.099)</f>
        <v>99</v>
      </c>
      <c r="R4" s="15" t="str">
        <f>_xlfn.XLOOKUP(TBL_CENARIOS[[#This Row],[ID_MASSA]],tbl_de_massas[id_massa],tbl_de_massas[status],"--",0,1)</f>
        <v>adimplente</v>
      </c>
      <c r="S4" s="15" t="str">
        <f>_xlfn.XLOOKUP(TBL_CENARIOS[[#This Row],[ID_MASSA]],tbl_de_massas[id_massa],tbl_de_massas[status_fatura_fechada],"--",0,1)</f>
        <v>ABERTA</v>
      </c>
      <c r="T4" s="37">
        <f ca="1">_xlfn.LET(_xlpm.dia, _xlfn.XLOOKUP(TBL_CENARIOS[[#This Row],[ID_MASSA]],tbl_de_massas[id_massa],tbl_de_massas[dia_vencimento],""),
IF(OR(_xlpm.dia="", _xlpm.dia="--"),"", DATE(YEAR(TODAY()),MONTH(TODAY()), _xlpm.dia)))</f>
        <v>46280</v>
      </c>
      <c r="U4" s="37">
        <f ca="1">IF(OR(TBL_CENARIOS[[#This Row],[venc.]]="", TBL_CENARIOS[[#This Row],[venc.]]="--"), "", WORKDAY(TBL_CENARIOS[[#This Row],[venc.]], 5))</f>
        <v>46287</v>
      </c>
      <c r="V4" s="15" t="str">
        <f>_xlfn.XLOOKUP(TBL_CENARIOS[[#This Row],[ID_MASSA]],tbl_de_massas[id_massa],tbl_de_massas[dias_atraso],"--",0,1)</f>
        <v>0</v>
      </c>
      <c r="W4" s="15">
        <v>9898</v>
      </c>
    </row>
    <row r="5" spans="1:23" x14ac:dyDescent="0.25">
      <c r="A5" s="15">
        <v>4</v>
      </c>
      <c r="B5" s="15" t="s">
        <v>19</v>
      </c>
      <c r="C5" s="15" t="s">
        <v>20</v>
      </c>
      <c r="D5" s="15" t="s">
        <v>9</v>
      </c>
      <c r="E5" s="16" t="s">
        <v>21</v>
      </c>
      <c r="F5" s="17" t="str">
        <f>_xlfn.XLOOKUP(TBL_CENARIOS[[#This Row],[ID_MASSA]],tbl_de_massas[id_massa],tbl_de_massas[cpf],"--",0,1)</f>
        <v>93852856961</v>
      </c>
      <c r="G5" s="15" t="s">
        <v>12</v>
      </c>
      <c r="H5" s="20">
        <f>_xlfn.XLOOKUP(TBL_CENARIOS[[#This Row],[ID_MASSA]],tbl_de_massas[id_massa],tbl_de_massas[saldo_conta],"--",0,1)</f>
        <v>46645.97</v>
      </c>
      <c r="I5" s="38"/>
      <c r="J5" s="38">
        <f>_xlfn.XLOOKUP(TBL_CENARIOS[[#This Row],[ID_MASSA]],tbl_de_massas[id_massa],tbl_de_massas[limite_utilizado],"--",0,1)</f>
        <v>2800.7</v>
      </c>
      <c r="K5" s="38">
        <f>_xlfn.XLOOKUP(TBL_CENARIOS[[#This Row],[ID_MASSA]],tbl_de_massas[id_massa],tbl_de_massas[limite_disponivel],"--",0,1)</f>
        <v>2199.3000000000002</v>
      </c>
      <c r="L5" s="46">
        <f>_xlfn.XLOOKUP(TBL_CENARIOS[[#This Row],[ID_MASSA]],tbl_de_massas[id_massa],tbl_de_massas[fatura_fechada],"--",0,1)</f>
        <v>0</v>
      </c>
      <c r="M5" s="45">
        <f>_xlfn.XLOOKUP(TBL_CENARIOS[[#This Row],[ID_MASSA]],tbl_de_massas[id_massa],tbl_de_massas[fatura_aberta],"--",0,1)</f>
        <v>1745.65</v>
      </c>
      <c r="N5" s="46">
        <f>VALUE(_xlfn.XLOOKUP(TBL_CENARIOS[[#This Row],[ID_MASSA]],tbl_de_massas[id_massa],tbl_de_massas[fatura_fechada],"--",0,1)*0.1)</f>
        <v>0</v>
      </c>
      <c r="O5" s="46">
        <f>VALUE(_xlfn.XLOOKUP(TBL_CENARIOS[[#This Row],[ID_MASSA]],tbl_de_massas[id_massa],tbl_de_massas[saldo_conta],"--",0,1)*0.25)</f>
        <v>11661.4925</v>
      </c>
      <c r="P5" s="46">
        <f>VALUE(_xlfn.XLOOKUP(TBL_CENARIOS[[#This Row],[ID_MASSA]],tbl_de_massas[id_massa],tbl_de_massas[saldo_conta],"--",0,1)*0.007)</f>
        <v>326.52179000000001</v>
      </c>
      <c r="Q5" s="46">
        <f>VALUE(_xlfn.XLOOKUP(TBL_CENARIOS[[#This Row],[ID_MASSA]],tbl_de_massas[id_massa],tbl_de_massas[saldo_conta],"--",0,1)*0.099)</f>
        <v>4617.9510300000002</v>
      </c>
      <c r="R5" s="15" t="str">
        <f>_xlfn.XLOOKUP(TBL_CENARIOS[[#This Row],[ID_MASSA]],tbl_de_massas[id_massa],tbl_de_massas[status],"--",0,1)</f>
        <v>adimplente</v>
      </c>
      <c r="S5" s="15" t="str">
        <f>_xlfn.XLOOKUP(TBL_CENARIOS[[#This Row],[ID_MASSA]],tbl_de_massas[id_massa],tbl_de_massas[status_fatura_fechada],"--",0,1)</f>
        <v>PAGA</v>
      </c>
      <c r="T5" s="37">
        <f ca="1">_xlfn.LET(_xlpm.dia, _xlfn.XLOOKUP(TBL_CENARIOS[[#This Row],[ID_MASSA]],tbl_de_massas[id_massa],tbl_de_massas[dia_vencimento],""),
IF(OR(_xlpm.dia="", _xlpm.dia="--"),"", DATE(YEAR(TODAY()),MONTH(TODAY()), _xlpm.dia)))</f>
        <v>46280</v>
      </c>
      <c r="U5" s="37">
        <f ca="1">IF(OR(TBL_CENARIOS[[#This Row],[venc.]]="", TBL_CENARIOS[[#This Row],[venc.]]="--"), "", WORKDAY(TBL_CENARIOS[[#This Row],[venc.]], 5))</f>
        <v>46287</v>
      </c>
      <c r="V5" s="15" t="str">
        <f>_xlfn.XLOOKUP(TBL_CENARIOS[[#This Row],[ID_MASSA]],tbl_de_massas[id_massa],tbl_de_massas[dias_atraso],"--",0,1)</f>
        <v>0</v>
      </c>
      <c r="W5" s="15">
        <v>9898</v>
      </c>
    </row>
    <row r="6" spans="1:23" x14ac:dyDescent="0.25">
      <c r="A6" s="15">
        <v>5</v>
      </c>
      <c r="B6" s="15" t="s">
        <v>22</v>
      </c>
      <c r="C6" s="15" t="s">
        <v>23</v>
      </c>
      <c r="D6" s="15" t="s">
        <v>9</v>
      </c>
      <c r="E6" s="16" t="s">
        <v>24</v>
      </c>
      <c r="F6" s="17" t="str">
        <f>_xlfn.XLOOKUP(TBL_CENARIOS[[#This Row],[ID_MASSA]],tbl_de_massas[id_massa],tbl_de_massas[cpf],"--",0,1)</f>
        <v>20250513611</v>
      </c>
      <c r="G6" s="15" t="s">
        <v>12</v>
      </c>
      <c r="H6" s="20">
        <f>_xlfn.XLOOKUP(TBL_CENARIOS[[#This Row],[ID_MASSA]],tbl_de_massas[id_massa],tbl_de_massas[saldo_conta],"--",0,1)</f>
        <v>13951.05</v>
      </c>
      <c r="I6" s="38"/>
      <c r="J6" s="38">
        <f>_xlfn.XLOOKUP(TBL_CENARIOS[[#This Row],[ID_MASSA]],tbl_de_massas[id_massa],tbl_de_massas[limite_utilizado],"--",0,1)</f>
        <v>4751.66</v>
      </c>
      <c r="K6" s="38">
        <f>_xlfn.XLOOKUP(TBL_CENARIOS[[#This Row],[ID_MASSA]],tbl_de_massas[id_massa],tbl_de_massas[limite_disponivel],"--",0,1)</f>
        <v>248.34</v>
      </c>
      <c r="L6" s="46">
        <f>_xlfn.XLOOKUP(TBL_CENARIOS[[#This Row],[ID_MASSA]],tbl_de_massas[id_massa],tbl_de_massas[fatura_fechada],"--",0,1)</f>
        <v>0</v>
      </c>
      <c r="M6" s="45">
        <f>_xlfn.XLOOKUP(TBL_CENARIOS[[#This Row],[ID_MASSA]],tbl_de_massas[id_massa],tbl_de_massas[fatura_aberta],"--",0,1)</f>
        <v>4751.66</v>
      </c>
      <c r="N6" s="46">
        <f>VALUE(_xlfn.XLOOKUP(TBL_CENARIOS[[#This Row],[ID_MASSA]],tbl_de_massas[id_massa],tbl_de_massas[fatura_fechada],"--",0,1)*0.1)</f>
        <v>0</v>
      </c>
      <c r="O6" s="46">
        <f>VALUE(_xlfn.XLOOKUP(TBL_CENARIOS[[#This Row],[ID_MASSA]],tbl_de_massas[id_massa],tbl_de_massas[saldo_conta],"--",0,1)*0.25)</f>
        <v>3487.7624999999998</v>
      </c>
      <c r="P6" s="46">
        <f>VALUE(_xlfn.XLOOKUP(TBL_CENARIOS[[#This Row],[ID_MASSA]],tbl_de_massas[id_massa],tbl_de_massas[saldo_conta],"--",0,1)*0.007)</f>
        <v>97.657349999999994</v>
      </c>
      <c r="Q6" s="46">
        <f>VALUE(_xlfn.XLOOKUP(TBL_CENARIOS[[#This Row],[ID_MASSA]],tbl_de_massas[id_massa],tbl_de_massas[saldo_conta],"--",0,1)*0.099)</f>
        <v>1381.1539499999999</v>
      </c>
      <c r="R6" s="15" t="str">
        <f>_xlfn.XLOOKUP(TBL_CENARIOS[[#This Row],[ID_MASSA]],tbl_de_massas[id_massa],tbl_de_massas[status],"--",0,1)</f>
        <v>adimplente</v>
      </c>
      <c r="S6" s="15" t="str">
        <f>_xlfn.XLOOKUP(TBL_CENARIOS[[#This Row],[ID_MASSA]],tbl_de_massas[id_massa],tbl_de_massas[status_fatura_fechada],"--",0,1)</f>
        <v>PAGA</v>
      </c>
      <c r="T6" s="37">
        <f ca="1">_xlfn.LET(_xlpm.dia, _xlfn.XLOOKUP(TBL_CENARIOS[[#This Row],[ID_MASSA]],tbl_de_massas[id_massa],tbl_de_massas[dia_vencimento],""),
IF(OR(_xlpm.dia="", _xlpm.dia="--"),"", DATE(YEAR(TODAY()),MONTH(TODAY()), _xlpm.dia)))</f>
        <v>46280</v>
      </c>
      <c r="U6" s="37">
        <f ca="1">IF(OR(TBL_CENARIOS[[#This Row],[venc.]]="", TBL_CENARIOS[[#This Row],[venc.]]="--"), "", WORKDAY(TBL_CENARIOS[[#This Row],[venc.]], 5))</f>
        <v>46287</v>
      </c>
      <c r="V6" s="15" t="str">
        <f>_xlfn.XLOOKUP(TBL_CENARIOS[[#This Row],[ID_MASSA]],tbl_de_massas[id_massa],tbl_de_massas[dias_atraso],"--",0,1)</f>
        <v>0</v>
      </c>
      <c r="W6" s="15">
        <v>9898</v>
      </c>
    </row>
    <row r="7" spans="1:23" x14ac:dyDescent="0.25">
      <c r="A7" s="15">
        <v>6</v>
      </c>
      <c r="B7" s="15" t="s">
        <v>25</v>
      </c>
      <c r="C7" s="15" t="s">
        <v>26</v>
      </c>
      <c r="D7" s="15" t="s">
        <v>9</v>
      </c>
      <c r="E7" s="16" t="s">
        <v>27</v>
      </c>
      <c r="F7" s="17" t="str">
        <f>_xlfn.XLOOKUP(TBL_CENARIOS[[#This Row],[ID_MASSA]],tbl_de_massas[id_massa],tbl_de_massas[cpf],"--",0,1)</f>
        <v>80417045181</v>
      </c>
      <c r="G7" s="15" t="s">
        <v>12</v>
      </c>
      <c r="H7" s="20">
        <f>_xlfn.XLOOKUP(TBL_CENARIOS[[#This Row],[ID_MASSA]],tbl_de_massas[id_massa],tbl_de_massas[saldo_conta],"--",0,1)</f>
        <v>1500</v>
      </c>
      <c r="I7" s="38"/>
      <c r="J7" s="38">
        <f>_xlfn.XLOOKUP(TBL_CENARIOS[[#This Row],[ID_MASSA]],tbl_de_massas[id_massa],tbl_de_massas[limite_utilizado],"--",0,1)</f>
        <v>2175.4499999999998</v>
      </c>
      <c r="K7" s="38">
        <f>_xlfn.XLOOKUP(TBL_CENARIOS[[#This Row],[ID_MASSA]],tbl_de_massas[id_massa],tbl_de_massas[limite_disponivel],"--",0,1)</f>
        <v>2824.55</v>
      </c>
      <c r="L7" s="46">
        <f>_xlfn.XLOOKUP(TBL_CENARIOS[[#This Row],[ID_MASSA]],tbl_de_massas[id_massa],tbl_de_massas[fatura_fechada],"--",0,1)</f>
        <v>0</v>
      </c>
      <c r="M7" s="45">
        <f>_xlfn.XLOOKUP(TBL_CENARIOS[[#This Row],[ID_MASSA]],tbl_de_massas[id_massa],tbl_de_massas[fatura_aberta],"--",0,1)</f>
        <v>1120.4000000000001</v>
      </c>
      <c r="N7" s="46">
        <f>VALUE(_xlfn.XLOOKUP(TBL_CENARIOS[[#This Row],[ID_MASSA]],tbl_de_massas[id_massa],tbl_de_massas[fatura_fechada],"--",0,1)*0.1)</f>
        <v>0</v>
      </c>
      <c r="O7" s="46">
        <f>VALUE(_xlfn.XLOOKUP(TBL_CENARIOS[[#This Row],[ID_MASSA]],tbl_de_massas[id_massa],tbl_de_massas[saldo_conta],"--",0,1)*0.25)</f>
        <v>375</v>
      </c>
      <c r="P7" s="46">
        <f>VALUE(_xlfn.XLOOKUP(TBL_CENARIOS[[#This Row],[ID_MASSA]],tbl_de_massas[id_massa],tbl_de_massas[saldo_conta],"--",0,1)*0.007)</f>
        <v>10.5</v>
      </c>
      <c r="Q7" s="46">
        <f>VALUE(_xlfn.XLOOKUP(TBL_CENARIOS[[#This Row],[ID_MASSA]],tbl_de_massas[id_massa],tbl_de_massas[saldo_conta],"--",0,1)*0.099)</f>
        <v>148.5</v>
      </c>
      <c r="R7" s="15" t="str">
        <f>_xlfn.XLOOKUP(TBL_CENARIOS[[#This Row],[ID_MASSA]],tbl_de_massas[id_massa],tbl_de_massas[status],"--",0,1)</f>
        <v>adimplente</v>
      </c>
      <c r="S7" s="15" t="str">
        <f>_xlfn.XLOOKUP(TBL_CENARIOS[[#This Row],[ID_MASSA]],tbl_de_massas[id_massa],tbl_de_massas[status_fatura_fechada],"--",0,1)</f>
        <v>ABERTA</v>
      </c>
      <c r="T7" s="37">
        <f ca="1">_xlfn.LET(_xlpm.dia, _xlfn.XLOOKUP(TBL_CENARIOS[[#This Row],[ID_MASSA]],tbl_de_massas[id_massa],tbl_de_massas[dia_vencimento],""),
IF(OR(_xlpm.dia="", _xlpm.dia="--"),"", DATE(YEAR(TODAY()),MONTH(TODAY()), _xlpm.dia)))</f>
        <v>46280</v>
      </c>
      <c r="U7" s="37">
        <f ca="1">IF(OR(TBL_CENARIOS[[#This Row],[venc.]]="", TBL_CENARIOS[[#This Row],[venc.]]="--"), "", WORKDAY(TBL_CENARIOS[[#This Row],[venc.]], 5))</f>
        <v>46287</v>
      </c>
      <c r="V7" s="15" t="str">
        <f>_xlfn.XLOOKUP(TBL_CENARIOS[[#This Row],[ID_MASSA]],tbl_de_massas[id_massa],tbl_de_massas[dias_atraso],"--",0,1)</f>
        <v>0</v>
      </c>
      <c r="W7" s="15">
        <v>9898</v>
      </c>
    </row>
    <row r="8" spans="1:23" x14ac:dyDescent="0.25">
      <c r="A8" s="15">
        <v>8</v>
      </c>
      <c r="B8" s="15" t="s">
        <v>2129</v>
      </c>
      <c r="C8" s="15" t="s">
        <v>2130</v>
      </c>
      <c r="D8" s="15" t="s">
        <v>2131</v>
      </c>
      <c r="E8" s="16" t="s">
        <v>610</v>
      </c>
      <c r="F8" s="17" t="str">
        <f>_xlfn.XLOOKUP(TBL_CENARIOS[[#This Row],[ID_MASSA]],tbl_de_massas[id_massa],tbl_de_massas[cpf],"--",0,1)</f>
        <v>42975897884</v>
      </c>
      <c r="G8" s="15" t="s">
        <v>12</v>
      </c>
      <c r="H8" s="20">
        <f>_xlfn.XLOOKUP(TBL_CENARIOS[[#This Row],[ID_MASSA]],tbl_de_massas[id_massa],tbl_de_massas[saldo_conta],"--",0,1)</f>
        <v>2000</v>
      </c>
      <c r="I8" s="38">
        <v>17.88</v>
      </c>
      <c r="J8" s="38">
        <f>_xlfn.XLOOKUP(TBL_CENARIOS[[#This Row],[ID_MASSA]],tbl_de_massas[id_massa],tbl_de_massas[limite_utilizado],"--",0,1)</f>
        <v>2800.85</v>
      </c>
      <c r="K8" s="38">
        <f>_xlfn.XLOOKUP(TBL_CENARIOS[[#This Row],[ID_MASSA]],tbl_de_massas[id_massa],tbl_de_massas[limite_disponivel],"--",0,1)</f>
        <v>2199.15</v>
      </c>
      <c r="L8" s="46">
        <f>_xlfn.XLOOKUP(TBL_CENARIOS[[#This Row],[ID_MASSA]],tbl_de_massas[id_massa],tbl_de_massas[fatura_fechada],"--",0,1)</f>
        <v>0</v>
      </c>
      <c r="M8" s="45">
        <f>_xlfn.XLOOKUP(TBL_CENARIOS[[#This Row],[ID_MASSA]],tbl_de_massas[id_massa],tbl_de_massas[fatura_aberta],"--",0,1)</f>
        <v>1745.8</v>
      </c>
      <c r="N8" s="46">
        <f>VALUE(_xlfn.XLOOKUP(TBL_CENARIOS[[#This Row],[ID_MASSA]],tbl_de_massas[id_massa],tbl_de_massas[fatura_fechada],"--",0,1)*0.1)</f>
        <v>0</v>
      </c>
      <c r="O8" s="46">
        <f>VALUE(_xlfn.XLOOKUP(TBL_CENARIOS[[#This Row],[ID_MASSA]],tbl_de_massas[id_massa],tbl_de_massas[saldo_conta],"--",0,1)*0.25)</f>
        <v>500</v>
      </c>
      <c r="P8" s="46">
        <f>VALUE(_xlfn.XLOOKUP(TBL_CENARIOS[[#This Row],[ID_MASSA]],tbl_de_massas[id_massa],tbl_de_massas[saldo_conta],"--",0,1)*0.007)</f>
        <v>14</v>
      </c>
      <c r="Q8" s="46">
        <f>VALUE(_xlfn.XLOOKUP(TBL_CENARIOS[[#This Row],[ID_MASSA]],tbl_de_massas[id_massa],tbl_de_massas[saldo_conta],"--",0,1)*0.099)</f>
        <v>198</v>
      </c>
      <c r="R8" s="15" t="str">
        <f>_xlfn.XLOOKUP(TBL_CENARIOS[[#This Row],[ID_MASSA]],tbl_de_massas[id_massa],tbl_de_massas[status],"--",0,1)</f>
        <v>inadimplente</v>
      </c>
      <c r="S8" s="15" t="str">
        <f>_xlfn.XLOOKUP(TBL_CENARIOS[[#This Row],[ID_MASSA]],tbl_de_massas[id_massa],tbl_de_massas[status_fatura_fechada],"--",0,1)</f>
        <v>ABERTA</v>
      </c>
      <c r="T8" s="37">
        <f ca="1">_xlfn.LET(_xlpm.dia, _xlfn.XLOOKUP(TBL_CENARIOS[[#This Row],[ID_MASSA]],tbl_de_massas[id_massa],tbl_de_massas[dia_vencimento],""),
IF(OR(_xlpm.dia="", _xlpm.dia="--"),"", DATE(YEAR(TODAY()),MONTH(TODAY()), _xlpm.dia)))</f>
        <v>46280</v>
      </c>
      <c r="U8" s="37">
        <f ca="1">IF(OR(TBL_CENARIOS[[#This Row],[venc.]]="", TBL_CENARIOS[[#This Row],[venc.]]="--"), "", WORKDAY(TBL_CENARIOS[[#This Row],[venc.]], 5))</f>
        <v>46287</v>
      </c>
      <c r="V8" s="15" t="str">
        <f>_xlfn.XLOOKUP(TBL_CENARIOS[[#This Row],[ID_MASSA]],tbl_de_massas[id_massa],tbl_de_massas[dias_atraso],"--",0,1)</f>
        <v>38</v>
      </c>
      <c r="W8" s="15">
        <v>9898</v>
      </c>
    </row>
    <row r="9" spans="1:23" x14ac:dyDescent="0.25">
      <c r="A9" s="15" t="s">
        <v>605</v>
      </c>
      <c r="B9" s="15" t="s">
        <v>2344</v>
      </c>
      <c r="C9" s="15" t="s">
        <v>2345</v>
      </c>
      <c r="D9" s="15" t="s">
        <v>2131</v>
      </c>
      <c r="E9" s="16" t="s">
        <v>612</v>
      </c>
      <c r="F9" s="17" t="str">
        <f>_xlfn.XLOOKUP(TBL_CENARIOS[[#This Row],[ID_MASSA]],tbl_de_massas[id_massa],tbl_de_massas[cpf],"--",0,1)</f>
        <v>33522298364</v>
      </c>
      <c r="G9" s="15" t="s">
        <v>12</v>
      </c>
      <c r="H9" s="20">
        <f>_xlfn.XLOOKUP(TBL_CENARIOS[[#This Row],[ID_MASSA]],tbl_de_massas[id_massa],tbl_de_massas[saldo_conta],"--",0,1)</f>
        <v>2000</v>
      </c>
      <c r="I9" s="38">
        <v>105</v>
      </c>
      <c r="J9" s="38">
        <f>_xlfn.XLOOKUP(TBL_CENARIOS[[#This Row],[ID_MASSA]],tbl_de_massas[id_massa],tbl_de_massas[limite_utilizado],"--",0,1)</f>
        <v>3101.77</v>
      </c>
      <c r="K9" s="38">
        <f>_xlfn.XLOOKUP(TBL_CENARIOS[[#This Row],[ID_MASSA]],tbl_de_massas[id_massa],tbl_de_massas[limite_disponivel],"--",0,1)</f>
        <v>1898.23</v>
      </c>
      <c r="L9" s="46">
        <f>_xlfn.XLOOKUP(TBL_CENARIOS[[#This Row],[ID_MASSA]],tbl_de_massas[id_massa],tbl_de_massas[fatura_fechada],"--",0,1)</f>
        <v>0</v>
      </c>
      <c r="M9" s="45">
        <f>_xlfn.XLOOKUP(TBL_CENARIOS[[#This Row],[ID_MASSA]],tbl_de_massas[id_massa],tbl_de_massas[fatura_aberta],"--",0,1)</f>
        <v>2046.72</v>
      </c>
      <c r="N9" s="46">
        <f>VALUE(_xlfn.XLOOKUP(TBL_CENARIOS[[#This Row],[ID_MASSA]],tbl_de_massas[id_massa],tbl_de_massas[fatura_fechada],"--",0,1)*0.1)</f>
        <v>0</v>
      </c>
      <c r="O9" s="46">
        <f>VALUE(_xlfn.XLOOKUP(TBL_CENARIOS[[#This Row],[ID_MASSA]],tbl_de_massas[id_massa],tbl_de_massas[saldo_conta],"--",0,1)*0.25)</f>
        <v>500</v>
      </c>
      <c r="P9" s="46">
        <f>VALUE(_xlfn.XLOOKUP(TBL_CENARIOS[[#This Row],[ID_MASSA]],tbl_de_massas[id_massa],tbl_de_massas[saldo_conta],"--",0,1)*0.007)</f>
        <v>14</v>
      </c>
      <c r="Q9" s="46">
        <f>VALUE(_xlfn.XLOOKUP(TBL_CENARIOS[[#This Row],[ID_MASSA]],tbl_de_massas[id_massa],tbl_de_massas[saldo_conta],"--",0,1)*0.099)</f>
        <v>198</v>
      </c>
      <c r="R9" s="15" t="str">
        <f>_xlfn.XLOOKUP(TBL_CENARIOS[[#This Row],[ID_MASSA]],tbl_de_massas[id_massa],tbl_de_massas[status],"--",0,1)</f>
        <v>inadimplente</v>
      </c>
      <c r="S9" s="15" t="str">
        <f>_xlfn.XLOOKUP(TBL_CENARIOS[[#This Row],[ID_MASSA]],tbl_de_massas[id_massa],tbl_de_massas[status_fatura_fechada],"--",0,1)</f>
        <v>ABERTA</v>
      </c>
      <c r="T9" s="37">
        <f ca="1">_xlfn.LET(_xlpm.dia, _xlfn.XLOOKUP(TBL_CENARIOS[[#This Row],[ID_MASSA]],tbl_de_massas[id_massa],tbl_de_massas[dia_vencimento],""),
IF(OR(_xlpm.dia="", _xlpm.dia="--"),"", DATE(YEAR(TODAY()),MONTH(TODAY()), _xlpm.dia)))</f>
        <v>46280</v>
      </c>
      <c r="U9" s="37">
        <f ca="1">IF(OR(TBL_CENARIOS[[#This Row],[venc.]]="", TBL_CENARIOS[[#This Row],[venc.]]="--"), "", WORKDAY(TBL_CENARIOS[[#This Row],[venc.]], 5))</f>
        <v>46287</v>
      </c>
      <c r="V9" s="15" t="str">
        <f>_xlfn.XLOOKUP(TBL_CENARIOS[[#This Row],[ID_MASSA]],tbl_de_massas[id_massa],tbl_de_massas[dias_atraso],"--",0,1)</f>
        <v>38</v>
      </c>
      <c r="W9" s="15">
        <v>9898</v>
      </c>
    </row>
    <row r="10" spans="1:23" x14ac:dyDescent="0.25">
      <c r="A10" s="15" t="s">
        <v>2346</v>
      </c>
      <c r="B10" s="15" t="s">
        <v>2347</v>
      </c>
      <c r="C10" s="15" t="s">
        <v>2348</v>
      </c>
      <c r="D10" s="15" t="s">
        <v>2131</v>
      </c>
      <c r="E10" s="16" t="s">
        <v>614</v>
      </c>
      <c r="F10" s="17" t="str">
        <f>_xlfn.XLOOKUP(TBL_CENARIOS[[#This Row],[ID_MASSA]],tbl_de_massas[id_massa],tbl_de_massas[cpf],"--",0,1)</f>
        <v>65451936372</v>
      </c>
      <c r="G10" s="15" t="s">
        <v>12</v>
      </c>
      <c r="H10" s="20">
        <f>_xlfn.XLOOKUP(TBL_CENARIOS[[#This Row],[ID_MASSA]],tbl_de_massas[id_massa],tbl_de_massas[saldo_conta],"--",0,1)</f>
        <v>2000</v>
      </c>
      <c r="I10" s="38" t="s">
        <v>1549</v>
      </c>
      <c r="J10" s="38">
        <f>_xlfn.XLOOKUP(TBL_CENARIOS[[#This Row],[ID_MASSA]],tbl_de_massas[id_massa],tbl_de_massas[limite_utilizado],"--",0,1)</f>
        <v>2554.16</v>
      </c>
      <c r="K10" s="38">
        <f>_xlfn.XLOOKUP(TBL_CENARIOS[[#This Row],[ID_MASSA]],tbl_de_massas[id_massa],tbl_de_massas[limite_disponivel],"--",0,1)</f>
        <v>2445.84</v>
      </c>
      <c r="L10" s="46">
        <f>_xlfn.XLOOKUP(TBL_CENARIOS[[#This Row],[ID_MASSA]],tbl_de_massas[id_massa],tbl_de_massas[fatura_fechada],"--",0,1)</f>
        <v>0</v>
      </c>
      <c r="M10" s="45">
        <f>_xlfn.XLOOKUP(TBL_CENARIOS[[#This Row],[ID_MASSA]],tbl_de_massas[id_massa],tbl_de_massas[fatura_aberta],"--",0,1)</f>
        <v>1499.11</v>
      </c>
      <c r="N10" s="46">
        <f>VALUE(_xlfn.XLOOKUP(TBL_CENARIOS[[#This Row],[ID_MASSA]],tbl_de_massas[id_massa],tbl_de_massas[fatura_fechada],"--",0,1)*0.1)</f>
        <v>0</v>
      </c>
      <c r="O10" s="46">
        <f>VALUE(_xlfn.XLOOKUP(TBL_CENARIOS[[#This Row],[ID_MASSA]],tbl_de_massas[id_massa],tbl_de_massas[saldo_conta],"--",0,1)*0.25)</f>
        <v>500</v>
      </c>
      <c r="P10" s="46">
        <f>VALUE(_xlfn.XLOOKUP(TBL_CENARIOS[[#This Row],[ID_MASSA]],tbl_de_massas[id_massa],tbl_de_massas[saldo_conta],"--",0,1)*0.007)</f>
        <v>14</v>
      </c>
      <c r="Q10" s="46">
        <f>VALUE(_xlfn.XLOOKUP(TBL_CENARIOS[[#This Row],[ID_MASSA]],tbl_de_massas[id_massa],tbl_de_massas[saldo_conta],"--",0,1)*0.099)</f>
        <v>198</v>
      </c>
      <c r="R10" s="15" t="str">
        <f>_xlfn.XLOOKUP(TBL_CENARIOS[[#This Row],[ID_MASSA]],tbl_de_massas[id_massa],tbl_de_massas[status],"--",0,1)</f>
        <v>inadimplente</v>
      </c>
      <c r="S10" s="15" t="str">
        <f>_xlfn.XLOOKUP(TBL_CENARIOS[[#This Row],[ID_MASSA]],tbl_de_massas[id_massa],tbl_de_massas[status_fatura_fechada],"--",0,1)</f>
        <v>ABERTA</v>
      </c>
      <c r="T10" s="37">
        <f ca="1">_xlfn.LET(_xlpm.dia, _xlfn.XLOOKUP(TBL_CENARIOS[[#This Row],[ID_MASSA]],tbl_de_massas[id_massa],tbl_de_massas[dia_vencimento],""),
IF(OR(_xlpm.dia="", _xlpm.dia="--"),"", DATE(YEAR(TODAY()),MONTH(TODAY()), _xlpm.dia)))</f>
        <v>46280</v>
      </c>
      <c r="U10" s="37">
        <f ca="1">IF(OR(TBL_CENARIOS[[#This Row],[venc.]]="", TBL_CENARIOS[[#This Row],[venc.]]="--"), "", WORKDAY(TBL_CENARIOS[[#This Row],[venc.]], 5))</f>
        <v>46287</v>
      </c>
      <c r="V10" s="15" t="str">
        <f>_xlfn.XLOOKUP(TBL_CENARIOS[[#This Row],[ID_MASSA]],tbl_de_massas[id_massa],tbl_de_massas[dias_atraso],"--",0,1)</f>
        <v>38</v>
      </c>
      <c r="W10" s="15">
        <v>9898</v>
      </c>
    </row>
    <row r="11" spans="1:23" x14ac:dyDescent="0.25">
      <c r="A11" s="15" t="s">
        <v>2360</v>
      </c>
      <c r="B11" s="15" t="s">
        <v>28</v>
      </c>
      <c r="C11" s="15" t="s">
        <v>2670</v>
      </c>
      <c r="D11" s="15" t="s">
        <v>2351</v>
      </c>
      <c r="E11" s="16" t="s">
        <v>3251</v>
      </c>
      <c r="F11" s="17" t="str">
        <f>_xlfn.XLOOKUP(TBL_CENARIOS[[#This Row],[ID_MASSA]],tbl_de_massas[id_massa],tbl_de_massas[cpf],"--",0,1)</f>
        <v>38750991256</v>
      </c>
      <c r="G11" s="15" t="s">
        <v>12</v>
      </c>
      <c r="H11" s="20">
        <f>_xlfn.XLOOKUP(TBL_CENARIOS[[#This Row],[ID_MASSA]],tbl_de_massas[id_massa],tbl_de_massas[saldo_conta],"--",0,1)</f>
        <v>6199.36</v>
      </c>
      <c r="I11" s="38" t="s">
        <v>2353</v>
      </c>
      <c r="J11" s="38">
        <f>_xlfn.XLOOKUP(TBL_CENARIOS[[#This Row],[ID_MASSA]],tbl_de_massas[id_massa],tbl_de_massas[limite_utilizado],"--",0,1)</f>
        <v>4692.63</v>
      </c>
      <c r="K11" s="38">
        <f>_xlfn.XLOOKUP(TBL_CENARIOS[[#This Row],[ID_MASSA]],tbl_de_massas[id_massa],tbl_de_massas[limite_disponivel],"--",0,1)</f>
        <v>16559.07</v>
      </c>
      <c r="L11" s="47">
        <f>_xlfn.XLOOKUP(TBL_CENARIOS[[#This Row],[ID_MASSA]],tbl_de_massas[id_massa],tbl_de_massas[fatura_fechada],"--",0,1)</f>
        <v>3870.86</v>
      </c>
      <c r="M11" s="45">
        <f>_xlfn.XLOOKUP(TBL_CENARIOS[[#This Row],[ID_MASSA]],tbl_de_massas[id_massa],tbl_de_massas[fatura_aberta],"--",0,1)</f>
        <v>4692.63</v>
      </c>
      <c r="N11" s="46">
        <f>VALUE(_xlfn.XLOOKUP(TBL_CENARIOS[[#This Row],[ID_MASSA]],tbl_de_massas[id_massa],tbl_de_massas[fatura_fechada],"--",0,1)*0.1)</f>
        <v>387.08600000000001</v>
      </c>
      <c r="O11" s="46">
        <f>VALUE(_xlfn.XLOOKUP(TBL_CENARIOS[[#This Row],[ID_MASSA]],tbl_de_massas[id_massa],tbl_de_massas[saldo_conta],"--",0,1)*0.25)</f>
        <v>1549.84</v>
      </c>
      <c r="P11" s="46">
        <f>VALUE(_xlfn.XLOOKUP(TBL_CENARIOS[[#This Row],[ID_MASSA]],tbl_de_massas[id_massa],tbl_de_massas[saldo_conta],"--",0,1)*0.007)</f>
        <v>43.395519999999998</v>
      </c>
      <c r="Q11" s="46">
        <f>VALUE(_xlfn.XLOOKUP(TBL_CENARIOS[[#This Row],[ID_MASSA]],tbl_de_massas[id_massa],tbl_de_massas[saldo_conta],"--",0,1)*0.099)</f>
        <v>613.73663999999997</v>
      </c>
      <c r="R11" s="15" t="str">
        <f>_xlfn.XLOOKUP(TBL_CENARIOS[[#This Row],[ID_MASSA]],tbl_de_massas[id_massa],tbl_de_massas[status],"--",0,1)</f>
        <v>inadimplente</v>
      </c>
      <c r="S11" s="15" t="str">
        <f>_xlfn.XLOOKUP(TBL_CENARIOS[[#This Row],[ID_MASSA]],tbl_de_massas[id_massa],tbl_de_massas[status_fatura_fechada],"--",0,1)</f>
        <v>ABERTA</v>
      </c>
      <c r="T11" s="37">
        <f ca="1">_xlfn.LET(_xlpm.dia, _xlfn.XLOOKUP(TBL_CENARIOS[[#This Row],[ID_MASSA]],tbl_de_massas[id_massa],tbl_de_massas[dia_vencimento],""),
IF(OR(_xlpm.dia="", _xlpm.dia="--"),"", DATE(YEAR(TODAY()),MONTH(TODAY()), _xlpm.dia)))</f>
        <v>46285</v>
      </c>
      <c r="U11" s="37">
        <f ca="1">IF(OR(TBL_CENARIOS[[#This Row],[venc.]]="", TBL_CENARIOS[[#This Row],[venc.]]="--"), "", WORKDAY(TBL_CENARIOS[[#This Row],[venc.]], 5))</f>
        <v>46290</v>
      </c>
      <c r="V11" s="15" t="str">
        <f>_xlfn.XLOOKUP(TBL_CENARIOS[[#This Row],[ID_MASSA]],tbl_de_massas[id_massa],tbl_de_massas[dias_atraso],"--",0,1)</f>
        <v>16</v>
      </c>
      <c r="W11" s="15">
        <v>9898</v>
      </c>
    </row>
    <row r="12" spans="1:23" x14ac:dyDescent="0.25">
      <c r="A12" s="15" t="s">
        <v>2361</v>
      </c>
      <c r="B12" s="15" t="s">
        <v>2349</v>
      </c>
      <c r="C12" s="15" t="s">
        <v>2671</v>
      </c>
      <c r="D12" s="15" t="s">
        <v>2351</v>
      </c>
      <c r="E12" s="16" t="s">
        <v>2179</v>
      </c>
      <c r="F12" s="17" t="str">
        <f>_xlfn.XLOOKUP(TBL_CENARIOS[[#This Row],[ID_MASSA]],tbl_de_massas[id_massa],tbl_de_massas[cpf],"--",0,1)</f>
        <v>13912221138</v>
      </c>
      <c r="G12" s="15" t="s">
        <v>12</v>
      </c>
      <c r="H12" s="20">
        <f>_xlfn.XLOOKUP(TBL_CENARIOS[[#This Row],[ID_MASSA]],tbl_de_massas[id_massa],tbl_de_massas[saldo_conta],"--",0,1)</f>
        <v>2559.06</v>
      </c>
      <c r="I12" s="38" t="s">
        <v>2355</v>
      </c>
      <c r="J12" s="38">
        <f>_xlfn.XLOOKUP(TBL_CENARIOS[[#This Row],[ID_MASSA]],tbl_de_massas[id_massa],tbl_de_massas[limite_utilizado],"--",0,1)</f>
        <v>5290.38</v>
      </c>
      <c r="K12" s="38">
        <f>_xlfn.XLOOKUP(TBL_CENARIOS[[#This Row],[ID_MASSA]],tbl_de_massas[id_massa],tbl_de_massas[limite_disponivel],"--",0,1)</f>
        <v>770.29</v>
      </c>
      <c r="L12" s="45">
        <f>_xlfn.XLOOKUP(TBL_CENARIOS[[#This Row],[ID_MASSA]],tbl_de_massas[id_massa],tbl_de_massas[fatura_fechada],"--",0,1)</f>
        <v>3870.86</v>
      </c>
      <c r="M12" s="45">
        <f>_xlfn.XLOOKUP(TBL_CENARIOS[[#This Row],[ID_MASSA]],tbl_de_massas[id_massa],tbl_de_massas[fatura_aberta],"--",0,1)</f>
        <v>5290.38</v>
      </c>
      <c r="N12" s="48">
        <f>VALUE(_xlfn.XLOOKUP(TBL_CENARIOS[[#This Row],[ID_MASSA]],tbl_de_massas[id_massa],tbl_de_massas[fatura_fechada],"--",0,1)*0.1)</f>
        <v>387.08600000000001</v>
      </c>
      <c r="O12" s="46">
        <f>VALUE(_xlfn.XLOOKUP(TBL_CENARIOS[[#This Row],[ID_MASSA]],tbl_de_massas[id_massa],tbl_de_massas[saldo_conta],"--",0,1)*0.25)</f>
        <v>639.76499999999999</v>
      </c>
      <c r="P12" s="46">
        <f>VALUE(_xlfn.XLOOKUP(TBL_CENARIOS[[#This Row],[ID_MASSA]],tbl_de_massas[id_massa],tbl_de_massas[saldo_conta],"--",0,1)*0.007)</f>
        <v>17.913419999999999</v>
      </c>
      <c r="Q12" s="46">
        <f>VALUE(_xlfn.XLOOKUP(TBL_CENARIOS[[#This Row],[ID_MASSA]],tbl_de_massas[id_massa],tbl_de_massas[saldo_conta],"--",0,1)*0.099)</f>
        <v>253.34694000000002</v>
      </c>
      <c r="R12" s="15" t="str">
        <f>_xlfn.XLOOKUP(TBL_CENARIOS[[#This Row],[ID_MASSA]],tbl_de_massas[id_massa],tbl_de_massas[status],"--",0,1)</f>
        <v>inadimplente</v>
      </c>
      <c r="S12" s="15" t="str">
        <f>_xlfn.XLOOKUP(TBL_CENARIOS[[#This Row],[ID_MASSA]],tbl_de_massas[id_massa],tbl_de_massas[status_fatura_fechada],"--",0,1)</f>
        <v>ABERTA</v>
      </c>
      <c r="T12" s="37">
        <f ca="1">_xlfn.LET(_xlpm.dia, _xlfn.XLOOKUP(TBL_CENARIOS[[#This Row],[ID_MASSA]],tbl_de_massas[id_massa],tbl_de_massas[dia_vencimento],""),
IF(OR(_xlpm.dia="", _xlpm.dia="--"),"", DATE(YEAR(TODAY()),MONTH(TODAY()), _xlpm.dia)))</f>
        <v>46290</v>
      </c>
      <c r="U12" s="37">
        <f ca="1">IF(OR(TBL_CENARIOS[[#This Row],[venc.]]="", TBL_CENARIOS[[#This Row],[venc.]]="--"), "", WORKDAY(TBL_CENARIOS[[#This Row],[venc.]], 5))</f>
        <v>46297</v>
      </c>
      <c r="V12" s="15" t="str">
        <f>_xlfn.XLOOKUP(TBL_CENARIOS[[#This Row],[ID_MASSA]],tbl_de_massas[id_massa],tbl_de_massas[dias_atraso],"--",0,1)</f>
        <v>43</v>
      </c>
      <c r="W12" s="15">
        <v>9898</v>
      </c>
    </row>
    <row r="13" spans="1:23" x14ac:dyDescent="0.25">
      <c r="A13" s="15" t="s">
        <v>2362</v>
      </c>
      <c r="B13" s="15" t="s">
        <v>2350</v>
      </c>
      <c r="C13" s="15" t="s">
        <v>2672</v>
      </c>
      <c r="D13" s="15" t="s">
        <v>2351</v>
      </c>
      <c r="E13" s="16" t="s">
        <v>2177</v>
      </c>
      <c r="F13" s="17" t="str">
        <f>_xlfn.XLOOKUP(TBL_CENARIOS[[#This Row],[ID_MASSA]],tbl_de_massas[id_massa],tbl_de_massas[cpf],"--",0,1)</f>
        <v>79990005907</v>
      </c>
      <c r="G13" s="15" t="s">
        <v>12</v>
      </c>
      <c r="H13" s="20">
        <f>_xlfn.XLOOKUP(TBL_CENARIOS[[#This Row],[ID_MASSA]],tbl_de_massas[id_massa],tbl_de_massas[saldo_conta],"--",0,1)</f>
        <v>3690.43</v>
      </c>
      <c r="I13" s="38" t="s">
        <v>2357</v>
      </c>
      <c r="J13" s="38">
        <f>_xlfn.XLOOKUP(TBL_CENARIOS[[#This Row],[ID_MASSA]],tbl_de_massas[id_massa],tbl_de_massas[limite_utilizado],"--",0,1)</f>
        <v>1085.07</v>
      </c>
      <c r="K13" s="38">
        <f>_xlfn.XLOOKUP(TBL_CENARIOS[[#This Row],[ID_MASSA]],tbl_de_massas[id_massa],tbl_de_massas[limite_disponivel],"--",0,1)</f>
        <v>15178.86</v>
      </c>
      <c r="L13" s="45">
        <f>_xlfn.XLOOKUP(TBL_CENARIOS[[#This Row],[ID_MASSA]],tbl_de_massas[id_massa],tbl_de_massas[fatura_fechada],"--",0,1)</f>
        <v>995.15</v>
      </c>
      <c r="M13" s="45">
        <f>_xlfn.XLOOKUP(TBL_CENARIOS[[#This Row],[ID_MASSA]],tbl_de_massas[id_massa],tbl_de_massas[fatura_aberta],"--",0,1)</f>
        <v>1085.07</v>
      </c>
      <c r="N13" s="46">
        <f>VALUE(_xlfn.XLOOKUP(TBL_CENARIOS[[#This Row],[ID_MASSA]],tbl_de_massas[id_massa],tbl_de_massas[fatura_fechada],"--",0,1)*0.1)</f>
        <v>99.515000000000001</v>
      </c>
      <c r="O13" s="48">
        <f>VALUE(_xlfn.XLOOKUP(TBL_CENARIOS[[#This Row],[ID_MASSA]],tbl_de_massas[id_massa],tbl_de_massas[saldo_conta],"--",0,1)*0.25)</f>
        <v>922.60749999999996</v>
      </c>
      <c r="P13" s="46">
        <f>VALUE(_xlfn.XLOOKUP(TBL_CENARIOS[[#This Row],[ID_MASSA]],tbl_de_massas[id_massa],tbl_de_massas[saldo_conta],"--",0,1)*0.007)</f>
        <v>25.833009999999998</v>
      </c>
      <c r="Q13" s="46">
        <f>VALUE(_xlfn.XLOOKUP(TBL_CENARIOS[[#This Row],[ID_MASSA]],tbl_de_massas[id_massa],tbl_de_massas[saldo_conta],"--",0,1)*0.099)</f>
        <v>365.35257000000001</v>
      </c>
      <c r="R13" s="15" t="str">
        <f>_xlfn.XLOOKUP(TBL_CENARIOS[[#This Row],[ID_MASSA]],tbl_de_massas[id_massa],tbl_de_massas[status],"--",0,1)</f>
        <v>inadimplente</v>
      </c>
      <c r="S13" s="15" t="str">
        <f>_xlfn.XLOOKUP(TBL_CENARIOS[[#This Row],[ID_MASSA]],tbl_de_massas[id_massa],tbl_de_massas[status_fatura_fechada],"--",0,1)</f>
        <v>ABERTA</v>
      </c>
      <c r="T13" s="37">
        <f ca="1">_xlfn.LET(_xlpm.dia, _xlfn.XLOOKUP(TBL_CENARIOS[[#This Row],[ID_MASSA]],tbl_de_massas[id_massa],tbl_de_massas[dia_vencimento],""),
IF(OR(_xlpm.dia="", _xlpm.dia="--"),"", DATE(YEAR(TODAY()),MONTH(TODAY()), _xlpm.dia)))</f>
        <v>46270</v>
      </c>
      <c r="U13" s="37">
        <f ca="1">IF(OR(TBL_CENARIOS[[#This Row],[venc.]]="", TBL_CENARIOS[[#This Row],[venc.]]="--"), "", WORKDAY(TBL_CENARIOS[[#This Row],[venc.]], 5))</f>
        <v>46276</v>
      </c>
      <c r="V13" s="15" t="str">
        <f>_xlfn.XLOOKUP(TBL_CENARIOS[[#This Row],[ID_MASSA]],tbl_de_massas[id_massa],tbl_de_massas[dias_atraso],"--",0,1)</f>
        <v>12</v>
      </c>
      <c r="W13" s="15">
        <v>9898</v>
      </c>
    </row>
    <row r="14" spans="1:23" x14ac:dyDescent="0.25">
      <c r="A14" s="15" t="s">
        <v>607</v>
      </c>
      <c r="B14" s="15" t="s">
        <v>2494</v>
      </c>
      <c r="C14" s="15" t="s">
        <v>2673</v>
      </c>
      <c r="D14" s="15" t="s">
        <v>2351</v>
      </c>
      <c r="E14" s="16" t="s">
        <v>2180</v>
      </c>
      <c r="F14" s="17" t="str">
        <f>_xlfn.XLOOKUP(TBL_CENARIOS[[#This Row],[ID_MASSA]],tbl_de_massas[id_massa],tbl_de_massas[cpf],"--",0,1)</f>
        <v>16618184630</v>
      </c>
      <c r="G14" s="15" t="s">
        <v>12</v>
      </c>
      <c r="H14" s="20">
        <f>_xlfn.XLOOKUP(TBL_CENARIOS[[#This Row],[ID_MASSA]],tbl_de_massas[id_massa],tbl_de_massas[saldo_conta],"--",0,1)</f>
        <v>1951.23</v>
      </c>
      <c r="I14" s="38"/>
      <c r="J14" s="38">
        <f>_xlfn.XLOOKUP(TBL_CENARIOS[[#This Row],[ID_MASSA]],tbl_de_massas[id_massa],tbl_de_massas[limite_utilizado],"--",0,1)</f>
        <v>5067.59</v>
      </c>
      <c r="K14" s="38">
        <f>_xlfn.XLOOKUP(TBL_CENARIOS[[#This Row],[ID_MASSA]],tbl_de_massas[id_massa],tbl_de_massas[limite_disponivel],"--",0,1)</f>
        <v>-2367.19</v>
      </c>
      <c r="L14" s="45">
        <f>_xlfn.XLOOKUP(TBL_CENARIOS[[#This Row],[ID_MASSA]],tbl_de_massas[id_massa],tbl_de_massas[fatura_fechada],"--",0,1)</f>
        <v>310.31</v>
      </c>
      <c r="M14" s="45">
        <f>_xlfn.XLOOKUP(TBL_CENARIOS[[#This Row],[ID_MASSA]],tbl_de_massas[id_massa],tbl_de_massas[fatura_aberta],"--",0,1)</f>
        <v>5067.59</v>
      </c>
      <c r="N14" s="46">
        <f>VALUE(_xlfn.XLOOKUP(TBL_CENARIOS[[#This Row],[ID_MASSA]],tbl_de_massas[id_massa],tbl_de_massas[fatura_fechada],"--",0,1)*0.1)</f>
        <v>31.031000000000002</v>
      </c>
      <c r="O14" s="46">
        <f>VALUE(_xlfn.XLOOKUP(TBL_CENARIOS[[#This Row],[ID_MASSA]],tbl_de_massas[id_massa],tbl_de_massas[saldo_conta],"--",0,1)*0.25)</f>
        <v>487.8075</v>
      </c>
      <c r="P14" s="48">
        <f>VALUE(_xlfn.XLOOKUP(TBL_CENARIOS[[#This Row],[ID_MASSA]],tbl_de_massas[id_massa],tbl_de_massas[saldo_conta],"--",0,1)*0.007)</f>
        <v>13.658610000000001</v>
      </c>
      <c r="Q14" s="46">
        <f>VALUE(_xlfn.XLOOKUP(TBL_CENARIOS[[#This Row],[ID_MASSA]],tbl_de_massas[id_massa],tbl_de_massas[saldo_conta],"--",0,1)*0.099)</f>
        <v>193.17177000000001</v>
      </c>
      <c r="R14" s="15" t="str">
        <f>_xlfn.XLOOKUP(TBL_CENARIOS[[#This Row],[ID_MASSA]],tbl_de_massas[id_massa],tbl_de_massas[status],"--",0,1)</f>
        <v>inadimplente</v>
      </c>
      <c r="S14" s="15" t="str">
        <f>_xlfn.XLOOKUP(TBL_CENARIOS[[#This Row],[ID_MASSA]],tbl_de_massas[id_massa],tbl_de_massas[status_fatura_fechada],"--",0,1)</f>
        <v>ABERTA</v>
      </c>
      <c r="T14" s="37">
        <f ca="1">_xlfn.LET(_xlpm.dia, _xlfn.XLOOKUP(TBL_CENARIOS[[#This Row],[ID_MASSA]],tbl_de_massas[id_massa],tbl_de_massas[dia_vencimento],""),
IF(OR(_xlpm.dia="", _xlpm.dia="--"),"", DATE(YEAR(TODAY()),MONTH(TODAY()), _xlpm.dia)))</f>
        <v>46270</v>
      </c>
      <c r="U14" s="37">
        <f ca="1">IF(OR(TBL_CENARIOS[[#This Row],[venc.]]="", TBL_CENARIOS[[#This Row],[venc.]]="--"), "", WORKDAY(TBL_CENARIOS[[#This Row],[venc.]], 5))</f>
        <v>46276</v>
      </c>
      <c r="V14" s="15" t="str">
        <f>_xlfn.XLOOKUP(TBL_CENARIOS[[#This Row],[ID_MASSA]],tbl_de_massas[id_massa],tbl_de_massas[dias_atraso],"--",0,1)</f>
        <v>43</v>
      </c>
      <c r="W14" s="15">
        <v>9898</v>
      </c>
    </row>
    <row r="15" spans="1:23" x14ac:dyDescent="0.25">
      <c r="A15" s="15" t="s">
        <v>2675</v>
      </c>
      <c r="B15" s="15" t="s">
        <v>2495</v>
      </c>
      <c r="C15" s="15" t="s">
        <v>2674</v>
      </c>
      <c r="D15" s="15" t="s">
        <v>2351</v>
      </c>
      <c r="E15" s="16" t="s">
        <v>3269</v>
      </c>
      <c r="F15" s="17" t="str">
        <f>_xlfn.XLOOKUP(TBL_CENARIOS[[#This Row],[ID_MASSA]],tbl_de_massas[id_massa],tbl_de_massas[cpf],"--",0,1)</f>
        <v>03671429887</v>
      </c>
      <c r="G15" s="15" t="s">
        <v>12</v>
      </c>
      <c r="H15" s="20">
        <f>_xlfn.XLOOKUP(TBL_CENARIOS[[#This Row],[ID_MASSA]],tbl_de_massas[id_massa],tbl_de_massas[saldo_conta],"--",0,1)</f>
        <v>11318.34</v>
      </c>
      <c r="I15" s="38"/>
      <c r="J15" s="38">
        <f>_xlfn.XLOOKUP(TBL_CENARIOS[[#This Row],[ID_MASSA]],tbl_de_massas[id_massa],tbl_de_massas[limite_utilizado],"--",0,1)</f>
        <v>4854.55</v>
      </c>
      <c r="K15" s="38">
        <f>_xlfn.XLOOKUP(TBL_CENARIOS[[#This Row],[ID_MASSA]],tbl_de_massas[id_massa],tbl_de_massas[limite_disponivel],"--",0,1)</f>
        <v>14514.33</v>
      </c>
      <c r="L15" s="45">
        <f>_xlfn.XLOOKUP(TBL_CENARIOS[[#This Row],[ID_MASSA]],tbl_de_massas[id_massa],tbl_de_massas[fatura_fechada],"--",0,1)</f>
        <v>3870.86</v>
      </c>
      <c r="M15" s="45">
        <f>_xlfn.XLOOKUP(TBL_CENARIOS[[#This Row],[ID_MASSA]],tbl_de_massas[id_massa],tbl_de_massas[fatura_aberta],"--",0,1)</f>
        <v>4854.55</v>
      </c>
      <c r="N15" s="46">
        <f>VALUE(_xlfn.XLOOKUP(TBL_CENARIOS[[#This Row],[ID_MASSA]],tbl_de_massas[id_massa],tbl_de_massas[fatura_fechada],"--",0,1)*0.1)</f>
        <v>387.08600000000001</v>
      </c>
      <c r="O15" s="46">
        <f>VALUE(_xlfn.XLOOKUP(TBL_CENARIOS[[#This Row],[ID_MASSA]],tbl_de_massas[id_massa],tbl_de_massas[saldo_conta],"--",0,1)*0.25)</f>
        <v>2829.585</v>
      </c>
      <c r="P15" s="46">
        <f>VALUE(_xlfn.XLOOKUP(TBL_CENARIOS[[#This Row],[ID_MASSA]],tbl_de_massas[id_massa],tbl_de_massas[saldo_conta],"--",0,1)*0.007)</f>
        <v>79.228380000000001</v>
      </c>
      <c r="Q15" s="48">
        <f>VALUE(_xlfn.XLOOKUP(TBL_CENARIOS[[#This Row],[ID_MASSA]],tbl_de_massas[id_massa],tbl_de_massas[saldo_conta],"--",0,1)*0.099)</f>
        <v>1120.51566</v>
      </c>
      <c r="R15" s="15" t="str">
        <f>_xlfn.XLOOKUP(TBL_CENARIOS[[#This Row],[ID_MASSA]],tbl_de_massas[id_massa],tbl_de_massas[status],"--",0,1)</f>
        <v>inadimplente</v>
      </c>
      <c r="S15" s="15" t="str">
        <f>_xlfn.XLOOKUP(TBL_CENARIOS[[#This Row],[ID_MASSA]],tbl_de_massas[id_massa],tbl_de_massas[status_fatura_fechada],"--",0,1)</f>
        <v>ABERTA</v>
      </c>
      <c r="T15" s="37">
        <f ca="1">_xlfn.LET(_xlpm.dia, _xlfn.XLOOKUP(TBL_CENARIOS[[#This Row],[ID_MASSA]],tbl_de_massas[id_massa],tbl_de_massas[dia_vencimento],""),
IF(OR(_xlpm.dia="", _xlpm.dia="--"),"", DATE(YEAR(TODAY()),MONTH(TODAY()), _xlpm.dia)))</f>
        <v>46280</v>
      </c>
      <c r="U15" s="37">
        <f ca="1">IF(OR(TBL_CENARIOS[[#This Row],[venc.]]="", TBL_CENARIOS[[#This Row],[venc.]]="--"), "", WORKDAY(TBL_CENARIOS[[#This Row],[venc.]], 5))</f>
        <v>46287</v>
      </c>
      <c r="V15" s="15" t="str">
        <f>_xlfn.XLOOKUP(TBL_CENARIOS[[#This Row],[ID_MASSA]],tbl_de_massas[id_massa],tbl_de_massas[dias_atraso],"--",0,1)</f>
        <v>16</v>
      </c>
      <c r="W15" s="15">
        <v>9898</v>
      </c>
    </row>
  </sheetData>
  <phoneticPr fontId="7" type="noConversion"/>
  <conditionalFormatting sqref="H2:H15">
    <cfRule type="cellIs" dxfId="12" priority="7" operator="greaterThan">
      <formula>$L$3</formula>
    </cfRule>
  </conditionalFormatting>
  <conditionalFormatting sqref="K2:K15">
    <cfRule type="cellIs" dxfId="11" priority="8" operator="lessThan">
      <formula>0</formula>
    </cfRule>
  </conditionalFormatting>
  <conditionalFormatting sqref="L2:L15">
    <cfRule type="cellIs" dxfId="10" priority="6" operator="lessThan">
      <formula>$H$13</formula>
    </cfRule>
  </conditionalFormatting>
  <conditionalFormatting sqref="L11">
    <cfRule type="cellIs" dxfId="9" priority="5" operator="lessThan">
      <formula>$H$11</formula>
    </cfRule>
  </conditionalFormatting>
  <conditionalFormatting sqref="N12">
    <cfRule type="cellIs" dxfId="8" priority="4" operator="lessThan">
      <formula>$L$12</formula>
    </cfRule>
  </conditionalFormatting>
  <conditionalFormatting sqref="O13">
    <cfRule type="cellIs" dxfId="7" priority="3" operator="lessThan">
      <formula>$L$13</formula>
    </cfRule>
  </conditionalFormatting>
  <conditionalFormatting sqref="P14">
    <cfRule type="cellIs" dxfId="6" priority="2" operator="lessThan">
      <formula>$N$14</formula>
    </cfRule>
  </conditionalFormatting>
  <conditionalFormatting sqref="Q15">
    <cfRule type="cellIs" dxfId="5" priority="1" operator="greaterThan">
      <formula>$N$15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E2BE3-C293-4EE6-A513-C17FACD5D1B4}">
  <dimension ref="A1:H315"/>
  <sheetViews>
    <sheetView topLeftCell="A24" zoomScale="140" zoomScaleNormal="140" workbookViewId="0">
      <selection activeCell="C229" sqref="C229"/>
    </sheetView>
  </sheetViews>
  <sheetFormatPr defaultRowHeight="15.75" x14ac:dyDescent="0.25"/>
  <cols>
    <col min="1" max="1" width="10.25" style="2" customWidth="1"/>
    <col min="2" max="2" width="11.625" bestFit="1" customWidth="1"/>
    <col min="3" max="3" width="13.875" bestFit="1" customWidth="1"/>
    <col min="4" max="4" width="20.125" bestFit="1" customWidth="1"/>
    <col min="5" max="5" width="28.5" bestFit="1" customWidth="1"/>
    <col min="6" max="6" width="18.75" bestFit="1" customWidth="1"/>
    <col min="7" max="7" width="15.625" customWidth="1"/>
    <col min="8" max="8" width="13.5" customWidth="1"/>
  </cols>
  <sheetData>
    <row r="1" spans="1:8" s="11" customFormat="1" ht="53.45" customHeight="1" x14ac:dyDescent="0.25">
      <c r="A1" s="13" t="s">
        <v>4</v>
      </c>
      <c r="B1" s="13" t="s">
        <v>5</v>
      </c>
      <c r="C1" s="13" t="s">
        <v>6</v>
      </c>
      <c r="D1" s="13" t="s">
        <v>2262</v>
      </c>
      <c r="E1" s="13" t="s">
        <v>2359</v>
      </c>
      <c r="F1" s="13" t="s">
        <v>2257</v>
      </c>
      <c r="G1" s="13" t="s">
        <v>2258</v>
      </c>
      <c r="H1" s="13" t="s">
        <v>2259</v>
      </c>
    </row>
    <row r="2" spans="1:8" x14ac:dyDescent="0.25">
      <c r="A2" s="2" t="s">
        <v>15</v>
      </c>
      <c r="B2" s="14" t="str">
        <f>_xlfn.XLOOKUP(TBL_USUARIOS[[#This Row],[ID_MASSA]],tbl_de_massas[id_massa],tbl_de_massas[cpf],"--",0,1)</f>
        <v>33333333333</v>
      </c>
      <c r="C2" t="s">
        <v>12</v>
      </c>
      <c r="D2" t="str">
        <f>_xlfn.XLOOKUP(TBL_USUARIOS[[#This Row],[ID_MASSA]],tbl_de_massas[id_massa],tbl_de_massas[nome_completo],"--",0,1)</f>
        <v>Daniel Costa</v>
      </c>
      <c r="E2" t="str">
        <f>_xlfn.XLOOKUP(TBL_USUARIOS[[#This Row],[ID_MASSA]],tbl_de_massas[id_massa],tbl_de_massas[cartao_fisico_numero],"--",0,1)</f>
        <v>5981 0126 7625 2833</v>
      </c>
      <c r="F2" t="str">
        <f>_xlfn.XLOOKUP(TBL_USUARIOS[[#This Row],[ID_MASSA]],tbl_de_massas[id_massa],tbl_de_massas[cartao_fisico_cvv],"--",0,1)</f>
        <v>333</v>
      </c>
      <c r="G2" t="str">
        <f>_xlfn.XLOOKUP(TBL_USUARIOS[[#This Row],[ID_MASSA]],tbl_de_massas[id_massa],tbl_de_massas[cartao_virtual_numero],"--",0,1)</f>
        <v>5981 0121 6847 4143</v>
      </c>
      <c r="H2" t="str">
        <f>_xlfn.XLOOKUP(TBL_USUARIOS[[#This Row],[ID_MASSA]],tbl_de_massas[id_massa],tbl_de_massas[cartao_virtual_cvv],"--",0,1)</f>
        <v>840</v>
      </c>
    </row>
    <row r="3" spans="1:8" x14ac:dyDescent="0.25">
      <c r="A3" s="2" t="s">
        <v>18</v>
      </c>
      <c r="B3" s="14" t="str">
        <f>_xlfn.XLOOKUP(TBL_USUARIOS[[#This Row],[ID_MASSA]],tbl_de_massas[id_massa],tbl_de_massas[cpf],"--",0,1)</f>
        <v>53281863159</v>
      </c>
      <c r="C3" t="s">
        <v>12</v>
      </c>
      <c r="D3" t="str">
        <f>_xlfn.XLOOKUP(TBL_USUARIOS[[#This Row],[ID_MASSA]],tbl_de_massas[id_massa],tbl_de_massas[nome_completo],"--",0,1)</f>
        <v>Angel Rempel</v>
      </c>
      <c r="E3" t="str">
        <f>_xlfn.XLOOKUP(TBL_USUARIOS[[#This Row],[ID_MASSA]],tbl_de_massas[id_massa],tbl_de_massas[cartao_fisico_numero],"--",0,1)</f>
        <v>5442 7460 5945 2322</v>
      </c>
      <c r="F3" t="str">
        <f>_xlfn.XLOOKUP(TBL_USUARIOS[[#This Row],[ID_MASSA]],tbl_de_massas[id_massa],tbl_de_massas[cartao_fisico_cvv],"--",0,1)</f>
        <v>159</v>
      </c>
      <c r="G3" t="str">
        <f>_xlfn.XLOOKUP(TBL_USUARIOS[[#This Row],[ID_MASSA]],tbl_de_massas[id_massa],tbl_de_massas[cartao_virtual_numero],"--",0,1)</f>
        <v/>
      </c>
      <c r="H3">
        <f>_xlfn.XLOOKUP(TBL_USUARIOS[[#This Row],[ID_MASSA]],tbl_de_massas[id_massa],tbl_de_massas[cartao_virtual_cvv],"--",0,1)</f>
        <v>0</v>
      </c>
    </row>
    <row r="4" spans="1:8" x14ac:dyDescent="0.25">
      <c r="A4" s="2" t="s">
        <v>21</v>
      </c>
      <c r="B4" s="14" t="str">
        <f>_xlfn.XLOOKUP(TBL_USUARIOS[[#This Row],[ID_MASSA]],tbl_de_massas[id_massa],tbl_de_massas[cpf],"--",0,1)</f>
        <v>93852856961</v>
      </c>
      <c r="C4" t="s">
        <v>12</v>
      </c>
      <c r="D4" t="str">
        <f>_xlfn.XLOOKUP(TBL_USUARIOS[[#This Row],[ID_MASSA]],tbl_de_massas[id_massa],tbl_de_massas[nome_completo],"--",0,1)</f>
        <v>Natália Moraes</v>
      </c>
      <c r="E4" t="str">
        <f>_xlfn.XLOOKUP(TBL_USUARIOS[[#This Row],[ID_MASSA]],tbl_de_massas[id_massa],tbl_de_massas[cartao_fisico_numero],"--",0,1)</f>
        <v>5442 7460 1816 6483</v>
      </c>
      <c r="F4" t="str">
        <f>_xlfn.XLOOKUP(TBL_USUARIOS[[#This Row],[ID_MASSA]],tbl_de_massas[id_massa],tbl_de_massas[cartao_fisico_cvv],"--",0,1)</f>
        <v>961</v>
      </c>
      <c r="G4" t="str">
        <f>_xlfn.XLOOKUP(TBL_USUARIOS[[#This Row],[ID_MASSA]],tbl_de_massas[id_massa],tbl_de_massas[cartao_virtual_numero],"--",0,1)</f>
        <v/>
      </c>
      <c r="H4">
        <f>_xlfn.XLOOKUP(TBL_USUARIOS[[#This Row],[ID_MASSA]],tbl_de_massas[id_massa],tbl_de_massas[cartao_virtual_cvv],"--",0,1)</f>
        <v>0</v>
      </c>
    </row>
    <row r="5" spans="1:8" x14ac:dyDescent="0.25">
      <c r="A5" s="2" t="s">
        <v>24</v>
      </c>
      <c r="B5" s="14" t="str">
        <f>_xlfn.XLOOKUP(TBL_USUARIOS[[#This Row],[ID_MASSA]],tbl_de_massas[id_massa],tbl_de_massas[cpf],"--",0,1)</f>
        <v>20250513611</v>
      </c>
      <c r="C5" t="s">
        <v>12</v>
      </c>
      <c r="D5" t="str">
        <f>_xlfn.XLOOKUP(TBL_USUARIOS[[#This Row],[ID_MASSA]],tbl_de_massas[id_massa],tbl_de_massas[nome_completo],"--",0,1)</f>
        <v>Karla Melo</v>
      </c>
      <c r="E5" t="str">
        <f>_xlfn.XLOOKUP(TBL_USUARIOS[[#This Row],[ID_MASSA]],tbl_de_massas[id_massa],tbl_de_massas[cartao_fisico_numero],"--",0,1)</f>
        <v>5442 7460 6785 5678</v>
      </c>
      <c r="F5" t="str">
        <f>_xlfn.XLOOKUP(TBL_USUARIOS[[#This Row],[ID_MASSA]],tbl_de_massas[id_massa],tbl_de_massas[cartao_fisico_cvv],"--",0,1)</f>
        <v>611</v>
      </c>
      <c r="G5" t="str">
        <f>_xlfn.XLOOKUP(TBL_USUARIOS[[#This Row],[ID_MASSA]],tbl_de_massas[id_massa],tbl_de_massas[cartao_virtual_numero],"--",0,1)</f>
        <v/>
      </c>
      <c r="H5">
        <f>_xlfn.XLOOKUP(TBL_USUARIOS[[#This Row],[ID_MASSA]],tbl_de_massas[id_massa],tbl_de_massas[cartao_virtual_cvv],"--",0,1)</f>
        <v>0</v>
      </c>
    </row>
    <row r="6" spans="1:8" x14ac:dyDescent="0.25">
      <c r="A6" s="2" t="s">
        <v>27</v>
      </c>
      <c r="B6" s="14" t="str">
        <f>_xlfn.XLOOKUP(TBL_USUARIOS[[#This Row],[ID_MASSA]],tbl_de_massas[id_massa],tbl_de_massas[cpf],"--",0,1)</f>
        <v>80417045181</v>
      </c>
      <c r="C6" t="s">
        <v>12</v>
      </c>
      <c r="D6" t="str">
        <f>_xlfn.XLOOKUP(TBL_USUARIOS[[#This Row],[ID_MASSA]],tbl_de_massas[id_massa],tbl_de_massas[nome_completo],"--",0,1)</f>
        <v>Marli Carvalho</v>
      </c>
      <c r="E6" t="str">
        <f>_xlfn.XLOOKUP(TBL_USUARIOS[[#This Row],[ID_MASSA]],tbl_de_massas[id_massa],tbl_de_massas[cartao_fisico_numero],"--",0,1)</f>
        <v>5442 7460 5473 5974</v>
      </c>
      <c r="F6" t="str">
        <f>_xlfn.XLOOKUP(TBL_USUARIOS[[#This Row],[ID_MASSA]],tbl_de_massas[id_massa],tbl_de_massas[cartao_fisico_cvv],"--",0,1)</f>
        <v>181</v>
      </c>
      <c r="G6" t="str">
        <f>_xlfn.XLOOKUP(TBL_USUARIOS[[#This Row],[ID_MASSA]],tbl_de_massas[id_massa],tbl_de_massas[cartao_virtual_numero],"--",0,1)</f>
        <v/>
      </c>
      <c r="H6">
        <f>_xlfn.XLOOKUP(TBL_USUARIOS[[#This Row],[ID_MASSA]],tbl_de_massas[id_massa],tbl_de_massas[cartao_virtual_cvv],"--",0,1)</f>
        <v>0</v>
      </c>
    </row>
    <row r="7" spans="1:8" x14ac:dyDescent="0.25">
      <c r="A7" s="2" t="s">
        <v>609</v>
      </c>
      <c r="B7" s="14" t="str">
        <f>_xlfn.XLOOKUP(TBL_USUARIOS[[#This Row],[ID_MASSA]],tbl_de_massas[id_massa],tbl_de_massas[cpf],"--",0,1)</f>
        <v>51243235758</v>
      </c>
      <c r="C7" t="s">
        <v>12</v>
      </c>
      <c r="D7" t="str">
        <f>_xlfn.XLOOKUP(TBL_USUARIOS[[#This Row],[ID_MASSA]],tbl_de_massas[id_massa],tbl_de_massas[nome_completo],"--",0,1)</f>
        <v>Rebeca Moreira</v>
      </c>
      <c r="E7" t="str">
        <f>_xlfn.XLOOKUP(TBL_USUARIOS[[#This Row],[ID_MASSA]],tbl_de_massas[id_massa],tbl_de_massas[cartao_fisico_numero],"--",0,1)</f>
        <v>5442 7460 9444 2887</v>
      </c>
      <c r="F7" t="str">
        <f>_xlfn.XLOOKUP(TBL_USUARIOS[[#This Row],[ID_MASSA]],tbl_de_massas[id_massa],tbl_de_massas[cartao_fisico_cvv],"--",0,1)</f>
        <v>758</v>
      </c>
      <c r="G7" t="str">
        <f>_xlfn.XLOOKUP(TBL_USUARIOS[[#This Row],[ID_MASSA]],tbl_de_massas[id_massa],tbl_de_massas[cartao_virtual_numero],"--",0,1)</f>
        <v/>
      </c>
      <c r="H7">
        <f>_xlfn.XLOOKUP(TBL_USUARIOS[[#This Row],[ID_MASSA]],tbl_de_massas[id_massa],tbl_de_massas[cartao_virtual_cvv],"--",0,1)</f>
        <v>0</v>
      </c>
    </row>
    <row r="8" spans="1:8" x14ac:dyDescent="0.25">
      <c r="A8" s="2" t="s">
        <v>610</v>
      </c>
      <c r="B8" s="14" t="str">
        <f>_xlfn.XLOOKUP(TBL_USUARIOS[[#This Row],[ID_MASSA]],tbl_de_massas[id_massa],tbl_de_massas[cpf],"--",0,1)</f>
        <v>42975897884</v>
      </c>
      <c r="C8" t="s">
        <v>12</v>
      </c>
      <c r="D8" t="str">
        <f>_xlfn.XLOOKUP(TBL_USUARIOS[[#This Row],[ID_MASSA]],tbl_de_massas[id_massa],tbl_de_massas[nome_completo],"--",0,1)</f>
        <v>Rafael Moreira</v>
      </c>
      <c r="E8" t="str">
        <f>_xlfn.XLOOKUP(TBL_USUARIOS[[#This Row],[ID_MASSA]],tbl_de_massas[id_massa],tbl_de_massas[cartao_fisico_numero],"--",0,1)</f>
        <v>5442 7460 6663 2979</v>
      </c>
      <c r="F8" t="str">
        <f>_xlfn.XLOOKUP(TBL_USUARIOS[[#This Row],[ID_MASSA]],tbl_de_massas[id_massa],tbl_de_massas[cartao_fisico_cvv],"--",0,1)</f>
        <v>884</v>
      </c>
      <c r="G8" t="str">
        <f>_xlfn.XLOOKUP(TBL_USUARIOS[[#This Row],[ID_MASSA]],tbl_de_massas[id_massa],tbl_de_massas[cartao_virtual_numero],"--",0,1)</f>
        <v/>
      </c>
      <c r="H8">
        <f>_xlfn.XLOOKUP(TBL_USUARIOS[[#This Row],[ID_MASSA]],tbl_de_massas[id_massa],tbl_de_massas[cartao_virtual_cvv],"--",0,1)</f>
        <v>0</v>
      </c>
    </row>
    <row r="9" spans="1:8" x14ac:dyDescent="0.25">
      <c r="A9" s="2" t="s">
        <v>612</v>
      </c>
      <c r="B9" s="14" t="str">
        <f>_xlfn.XLOOKUP(TBL_USUARIOS[[#This Row],[ID_MASSA]],tbl_de_massas[id_massa],tbl_de_massas[cpf],"--",0,1)</f>
        <v>33522298364</v>
      </c>
      <c r="C9" t="s">
        <v>12</v>
      </c>
      <c r="D9" t="str">
        <f>_xlfn.XLOOKUP(TBL_USUARIOS[[#This Row],[ID_MASSA]],tbl_de_massas[id_massa],tbl_de_massas[nome_completo],"--",0,1)</f>
        <v>Paula Barros</v>
      </c>
      <c r="E9" t="str">
        <f>_xlfn.XLOOKUP(TBL_USUARIOS[[#This Row],[ID_MASSA]],tbl_de_massas[id_massa],tbl_de_massas[cartao_fisico_numero],"--",0,1)</f>
        <v>5442 7460 8142 6976</v>
      </c>
      <c r="F9" t="str">
        <f>_xlfn.XLOOKUP(TBL_USUARIOS[[#This Row],[ID_MASSA]],tbl_de_massas[id_massa],tbl_de_massas[cartao_fisico_cvv],"--",0,1)</f>
        <v>364</v>
      </c>
      <c r="G9" t="str">
        <f>_xlfn.XLOOKUP(TBL_USUARIOS[[#This Row],[ID_MASSA]],tbl_de_massas[id_massa],tbl_de_massas[cartao_virtual_numero],"--",0,1)</f>
        <v/>
      </c>
      <c r="H9">
        <f>_xlfn.XLOOKUP(TBL_USUARIOS[[#This Row],[ID_MASSA]],tbl_de_massas[id_massa],tbl_de_massas[cartao_virtual_cvv],"--",0,1)</f>
        <v>0</v>
      </c>
    </row>
    <row r="10" spans="1:8" x14ac:dyDescent="0.25">
      <c r="A10" s="2" t="s">
        <v>614</v>
      </c>
      <c r="B10" s="14" t="str">
        <f>_xlfn.XLOOKUP(TBL_USUARIOS[[#This Row],[ID_MASSA]],tbl_de_massas[id_massa],tbl_de_massas[cpf],"--",0,1)</f>
        <v>65451936372</v>
      </c>
      <c r="C10" t="s">
        <v>12</v>
      </c>
      <c r="D10" t="str">
        <f>_xlfn.XLOOKUP(TBL_USUARIOS[[#This Row],[ID_MASSA]],tbl_de_massas[id_massa],tbl_de_massas[nome_completo],"--",0,1)</f>
        <v>Dalila Batista</v>
      </c>
      <c r="E10" t="str">
        <f>_xlfn.XLOOKUP(TBL_USUARIOS[[#This Row],[ID_MASSA]],tbl_de_massas[id_massa],tbl_de_massas[cartao_fisico_numero],"--",0,1)</f>
        <v>5442 7460 4485 1604</v>
      </c>
      <c r="F10" t="str">
        <f>_xlfn.XLOOKUP(TBL_USUARIOS[[#This Row],[ID_MASSA]],tbl_de_massas[id_massa],tbl_de_massas[cartao_fisico_cvv],"--",0,1)</f>
        <v>372</v>
      </c>
      <c r="G10" t="str">
        <f>_xlfn.XLOOKUP(TBL_USUARIOS[[#This Row],[ID_MASSA]],tbl_de_massas[id_massa],tbl_de_massas[cartao_virtual_numero],"--",0,1)</f>
        <v/>
      </c>
      <c r="H10">
        <f>_xlfn.XLOOKUP(TBL_USUARIOS[[#This Row],[ID_MASSA]],tbl_de_massas[id_massa],tbl_de_massas[cartao_virtual_cvv],"--",0,1)</f>
        <v>0</v>
      </c>
    </row>
    <row r="11" spans="1:8" x14ac:dyDescent="0.25">
      <c r="A11" s="2" t="s">
        <v>613</v>
      </c>
      <c r="B11" s="14" t="str">
        <f>_xlfn.XLOOKUP(TBL_USUARIOS[[#This Row],[ID_MASSA]],tbl_de_massas[id_massa],tbl_de_massas[cpf],"--",0,1)</f>
        <v>48431018434</v>
      </c>
      <c r="C11" t="s">
        <v>12</v>
      </c>
      <c r="D11" t="str">
        <f>_xlfn.XLOOKUP(TBL_USUARIOS[[#This Row],[ID_MASSA]],tbl_de_massas[id_massa],tbl_de_massas[nome_completo],"--",0,1)</f>
        <v>Opal King</v>
      </c>
      <c r="E11" t="str">
        <f>_xlfn.XLOOKUP(TBL_USUARIOS[[#This Row],[ID_MASSA]],tbl_de_massas[id_massa],tbl_de_massas[cartao_fisico_numero],"--",0,1)</f>
        <v>5442 7460 2097 3752</v>
      </c>
      <c r="F11" t="str">
        <f>_xlfn.XLOOKUP(TBL_USUARIOS[[#This Row],[ID_MASSA]],tbl_de_massas[id_massa],tbl_de_massas[cartao_fisico_cvv],"--",0,1)</f>
        <v>434</v>
      </c>
      <c r="G11" t="str">
        <f>_xlfn.XLOOKUP(TBL_USUARIOS[[#This Row],[ID_MASSA]],tbl_de_massas[id_massa],tbl_de_massas[cartao_virtual_numero],"--",0,1)</f>
        <v/>
      </c>
      <c r="H11">
        <f>_xlfn.XLOOKUP(TBL_USUARIOS[[#This Row],[ID_MASSA]],tbl_de_massas[id_massa],tbl_de_massas[cartao_virtual_cvv],"--",0,1)</f>
        <v>0</v>
      </c>
    </row>
    <row r="12" spans="1:8" x14ac:dyDescent="0.25">
      <c r="A12" s="2" t="s">
        <v>615</v>
      </c>
      <c r="B12" s="14" t="str">
        <f>_xlfn.XLOOKUP(TBL_USUARIOS[[#This Row],[ID_MASSA]],tbl_de_massas[id_massa],tbl_de_massas[cpf],"--",0,1)</f>
        <v>57673944623</v>
      </c>
      <c r="C12" t="s">
        <v>12</v>
      </c>
      <c r="D12" t="str">
        <f>_xlfn.XLOOKUP(TBL_USUARIOS[[#This Row],[ID_MASSA]],tbl_de_massas[id_massa],tbl_de_massas[nome_completo],"--",0,1)</f>
        <v>Ira Morar</v>
      </c>
      <c r="E12" t="str">
        <f>_xlfn.XLOOKUP(TBL_USUARIOS[[#This Row],[ID_MASSA]],tbl_de_massas[id_massa],tbl_de_massas[cartao_fisico_numero],"--",0,1)</f>
        <v>5442 7460 5075 1068</v>
      </c>
      <c r="F12" t="str">
        <f>_xlfn.XLOOKUP(TBL_USUARIOS[[#This Row],[ID_MASSA]],tbl_de_massas[id_massa],tbl_de_massas[cartao_fisico_cvv],"--",0,1)</f>
        <v>623</v>
      </c>
      <c r="G12" t="str">
        <f>_xlfn.XLOOKUP(TBL_USUARIOS[[#This Row],[ID_MASSA]],tbl_de_massas[id_massa],tbl_de_massas[cartao_virtual_numero],"--",0,1)</f>
        <v/>
      </c>
      <c r="H12">
        <f>_xlfn.XLOOKUP(TBL_USUARIOS[[#This Row],[ID_MASSA]],tbl_de_massas[id_massa],tbl_de_massas[cartao_virtual_cvv],"--",0,1)</f>
        <v>0</v>
      </c>
    </row>
    <row r="13" spans="1:8" x14ac:dyDescent="0.25">
      <c r="A13" s="2" t="s">
        <v>616</v>
      </c>
      <c r="B13" s="14" t="str">
        <f>_xlfn.XLOOKUP(TBL_USUARIOS[[#This Row],[ID_MASSA]],tbl_de_massas[id_massa],tbl_de_massas[cpf],"--",0,1)</f>
        <v>66414169091</v>
      </c>
      <c r="C13" t="s">
        <v>12</v>
      </c>
      <c r="D13" t="str">
        <f>_xlfn.XLOOKUP(TBL_USUARIOS[[#This Row],[ID_MASSA]],tbl_de_massas[id_massa],tbl_de_massas[nome_completo],"--",0,1)</f>
        <v>Coy Schmeler</v>
      </c>
      <c r="E13" t="str">
        <f>_xlfn.XLOOKUP(TBL_USUARIOS[[#This Row],[ID_MASSA]],tbl_de_massas[id_massa],tbl_de_massas[cartao_fisico_numero],"--",0,1)</f>
        <v>5442 7460 4969 9232</v>
      </c>
      <c r="F13" t="str">
        <f>_xlfn.XLOOKUP(TBL_USUARIOS[[#This Row],[ID_MASSA]],tbl_de_massas[id_massa],tbl_de_massas[cartao_fisico_cvv],"--",0,1)</f>
        <v>91</v>
      </c>
      <c r="G13" t="str">
        <f>_xlfn.XLOOKUP(TBL_USUARIOS[[#This Row],[ID_MASSA]],tbl_de_massas[id_massa],tbl_de_massas[cartao_virtual_numero],"--",0,1)</f>
        <v/>
      </c>
      <c r="H13">
        <f>_xlfn.XLOOKUP(TBL_USUARIOS[[#This Row],[ID_MASSA]],tbl_de_massas[id_massa],tbl_de_massas[cartao_virtual_cvv],"--",0,1)</f>
        <v>0</v>
      </c>
    </row>
    <row r="14" spans="1:8" x14ac:dyDescent="0.25">
      <c r="A14" s="2" t="s">
        <v>617</v>
      </c>
      <c r="B14" s="14" t="str">
        <f>_xlfn.XLOOKUP(TBL_USUARIOS[[#This Row],[ID_MASSA]],tbl_de_massas[id_massa],tbl_de_massas[cpf],"--",0,1)</f>
        <v>24930613945</v>
      </c>
      <c r="C14" t="s">
        <v>12</v>
      </c>
      <c r="D14" t="str">
        <f>_xlfn.XLOOKUP(TBL_USUARIOS[[#This Row],[ID_MASSA]],tbl_de_massas[id_massa],tbl_de_massas[nome_completo],"--",0,1)</f>
        <v>Lane Larkin</v>
      </c>
      <c r="E14" t="str">
        <f>_xlfn.XLOOKUP(TBL_USUARIOS[[#This Row],[ID_MASSA]],tbl_de_massas[id_massa],tbl_de_massas[cartao_fisico_numero],"--",0,1)</f>
        <v>5442 7460 3631 2648</v>
      </c>
      <c r="F14" t="str">
        <f>_xlfn.XLOOKUP(TBL_USUARIOS[[#This Row],[ID_MASSA]],tbl_de_massas[id_massa],tbl_de_massas[cartao_fisico_cvv],"--",0,1)</f>
        <v>945</v>
      </c>
      <c r="G14" t="str">
        <f>_xlfn.XLOOKUP(TBL_USUARIOS[[#This Row],[ID_MASSA]],tbl_de_massas[id_massa],tbl_de_massas[cartao_virtual_numero],"--",0,1)</f>
        <v/>
      </c>
      <c r="H14">
        <f>_xlfn.XLOOKUP(TBL_USUARIOS[[#This Row],[ID_MASSA]],tbl_de_massas[id_massa],tbl_de_massas[cartao_virtual_cvv],"--",0,1)</f>
        <v>0</v>
      </c>
    </row>
    <row r="15" spans="1:8" x14ac:dyDescent="0.25">
      <c r="A15" s="2" t="s">
        <v>618</v>
      </c>
      <c r="B15" s="14" t="str">
        <f>_xlfn.XLOOKUP(TBL_USUARIOS[[#This Row],[ID_MASSA]],tbl_de_massas[id_massa],tbl_de_massas[cpf],"--",0,1)</f>
        <v>72856446096</v>
      </c>
      <c r="C15" t="s">
        <v>12</v>
      </c>
      <c r="D15" t="str">
        <f>_xlfn.XLOOKUP(TBL_USUARIOS[[#This Row],[ID_MASSA]],tbl_de_massas[id_massa],tbl_de_massas[nome_completo],"--",0,1)</f>
        <v>Marvin Dietrich</v>
      </c>
      <c r="E15" t="str">
        <f>_xlfn.XLOOKUP(TBL_USUARIOS[[#This Row],[ID_MASSA]],tbl_de_massas[id_massa],tbl_de_massas[cartao_fisico_numero],"--",0,1)</f>
        <v>5442 7460 1716 7924</v>
      </c>
      <c r="F15" t="str">
        <f>_xlfn.XLOOKUP(TBL_USUARIOS[[#This Row],[ID_MASSA]],tbl_de_massas[id_massa],tbl_de_massas[cartao_fisico_cvv],"--",0,1)</f>
        <v>96</v>
      </c>
      <c r="G15" t="str">
        <f>_xlfn.XLOOKUP(TBL_USUARIOS[[#This Row],[ID_MASSA]],tbl_de_massas[id_massa],tbl_de_massas[cartao_virtual_numero],"--",0,1)</f>
        <v/>
      </c>
      <c r="H15">
        <f>_xlfn.XLOOKUP(TBL_USUARIOS[[#This Row],[ID_MASSA]],tbl_de_massas[id_massa],tbl_de_massas[cartao_virtual_cvv],"--",0,1)</f>
        <v>0</v>
      </c>
    </row>
    <row r="16" spans="1:8" x14ac:dyDescent="0.25">
      <c r="A16" s="2" t="s">
        <v>1291</v>
      </c>
      <c r="B16" s="14" t="str">
        <f>_xlfn.XLOOKUP(TBL_USUARIOS[[#This Row],[ID_MASSA]],tbl_de_massas[id_massa],tbl_de_massas[cpf],"--",0,1)</f>
        <v>25713468361</v>
      </c>
      <c r="C16" t="s">
        <v>12</v>
      </c>
      <c r="D16" t="str">
        <f>_xlfn.XLOOKUP(TBL_USUARIOS[[#This Row],[ID_MASSA]],tbl_de_massas[id_massa],tbl_de_massas[nome_completo],"--",0,1)</f>
        <v>Alícia Barros</v>
      </c>
      <c r="E16" t="str">
        <f>_xlfn.XLOOKUP(TBL_USUARIOS[[#This Row],[ID_MASSA]],tbl_de_massas[id_massa],tbl_de_massas[cartao_fisico_numero],"--",0,1)</f>
        <v>5442 7460 6629 7624</v>
      </c>
      <c r="F16" t="str">
        <f>_xlfn.XLOOKUP(TBL_USUARIOS[[#This Row],[ID_MASSA]],tbl_de_massas[id_massa],tbl_de_massas[cartao_fisico_cvv],"--",0,1)</f>
        <v>361</v>
      </c>
      <c r="G16" t="str">
        <f>_xlfn.XLOOKUP(TBL_USUARIOS[[#This Row],[ID_MASSA]],tbl_de_massas[id_massa],tbl_de_massas[cartao_virtual_numero],"--",0,1)</f>
        <v/>
      </c>
      <c r="H16">
        <f>_xlfn.XLOOKUP(TBL_USUARIOS[[#This Row],[ID_MASSA]],tbl_de_massas[id_massa],tbl_de_massas[cartao_virtual_cvv],"--",0,1)</f>
        <v>0</v>
      </c>
    </row>
    <row r="17" spans="1:8" x14ac:dyDescent="0.25">
      <c r="A17" s="2" t="s">
        <v>2263</v>
      </c>
      <c r="B17" s="14" t="str">
        <f>_xlfn.XLOOKUP(TBL_USUARIOS[[#This Row],[ID_MASSA]],tbl_de_massas[id_massa],tbl_de_massas[cpf],"--",0,1)</f>
        <v>73012176728</v>
      </c>
      <c r="C17" t="s">
        <v>12</v>
      </c>
      <c r="D17" t="str">
        <f>_xlfn.XLOOKUP(TBL_USUARIOS[[#This Row],[ID_MASSA]],tbl_de_massas[id_massa],tbl_de_massas[nome_completo],"--",0,1)</f>
        <v>Elísio Souza</v>
      </c>
      <c r="E17" t="str">
        <f>_xlfn.XLOOKUP(TBL_USUARIOS[[#This Row],[ID_MASSA]],tbl_de_massas[id_massa],tbl_de_massas[cartao_fisico_numero],"--",0,1)</f>
        <v>5442 7460 8105 6141</v>
      </c>
      <c r="F17" t="str">
        <f>_xlfn.XLOOKUP(TBL_USUARIOS[[#This Row],[ID_MASSA]],tbl_de_massas[id_massa],tbl_de_massas[cartao_fisico_cvv],"--",0,1)</f>
        <v>728</v>
      </c>
      <c r="G17" t="str">
        <f>_xlfn.XLOOKUP(TBL_USUARIOS[[#This Row],[ID_MASSA]],tbl_de_massas[id_massa],tbl_de_massas[cartao_virtual_numero],"--",0,1)</f>
        <v/>
      </c>
      <c r="H17">
        <f>_xlfn.XLOOKUP(TBL_USUARIOS[[#This Row],[ID_MASSA]],tbl_de_massas[id_massa],tbl_de_massas[cartao_virtual_cvv],"--",0,1)</f>
        <v>0</v>
      </c>
    </row>
    <row r="18" spans="1:8" x14ac:dyDescent="0.25">
      <c r="A18" s="2" t="s">
        <v>1292</v>
      </c>
      <c r="B18" s="14" t="str">
        <f>_xlfn.XLOOKUP(TBL_USUARIOS[[#This Row],[ID_MASSA]],tbl_de_massas[id_massa],tbl_de_massas[cpf],"--",0,1)</f>
        <v>18011225638</v>
      </c>
      <c r="C18" t="s">
        <v>12</v>
      </c>
      <c r="D18" t="str">
        <f>_xlfn.XLOOKUP(TBL_USUARIOS[[#This Row],[ID_MASSA]],tbl_de_massas[id_massa],tbl_de_massas[nome_completo],"--",0,1)</f>
        <v>Alice Albuquerque</v>
      </c>
      <c r="E18" t="str">
        <f>_xlfn.XLOOKUP(TBL_USUARIOS[[#This Row],[ID_MASSA]],tbl_de_massas[id_massa],tbl_de_massas[cartao_fisico_numero],"--",0,1)</f>
        <v>5442 7460 2184 6661</v>
      </c>
      <c r="F18" t="str">
        <f>_xlfn.XLOOKUP(TBL_USUARIOS[[#This Row],[ID_MASSA]],tbl_de_massas[id_massa],tbl_de_massas[cartao_fisico_cvv],"--",0,1)</f>
        <v>638</v>
      </c>
      <c r="G18" t="str">
        <f>_xlfn.XLOOKUP(TBL_USUARIOS[[#This Row],[ID_MASSA]],tbl_de_massas[id_massa],tbl_de_massas[cartao_virtual_numero],"--",0,1)</f>
        <v/>
      </c>
      <c r="H18">
        <f>_xlfn.XLOOKUP(TBL_USUARIOS[[#This Row],[ID_MASSA]],tbl_de_massas[id_massa],tbl_de_massas[cartao_virtual_cvv],"--",0,1)</f>
        <v>0</v>
      </c>
    </row>
    <row r="19" spans="1:8" x14ac:dyDescent="0.25">
      <c r="A19" s="2" t="s">
        <v>2264</v>
      </c>
      <c r="B19" s="14" t="str">
        <f>_xlfn.XLOOKUP(TBL_USUARIOS[[#This Row],[ID_MASSA]],tbl_de_massas[id_massa],tbl_de_massas[cpf],"--",0,1)</f>
        <v>76726514039</v>
      </c>
      <c r="C19" t="s">
        <v>12</v>
      </c>
      <c r="D19" t="str">
        <f>_xlfn.XLOOKUP(TBL_USUARIOS[[#This Row],[ID_MASSA]],tbl_de_massas[id_massa],tbl_de_massas[nome_completo],"--",0,1)</f>
        <v>Rafael Xavier</v>
      </c>
      <c r="E19" t="str">
        <f>_xlfn.XLOOKUP(TBL_USUARIOS[[#This Row],[ID_MASSA]],tbl_de_massas[id_massa],tbl_de_massas[cartao_fisico_numero],"--",0,1)</f>
        <v>5442 7460 2091 1845</v>
      </c>
      <c r="F19" t="str">
        <f>_xlfn.XLOOKUP(TBL_USUARIOS[[#This Row],[ID_MASSA]],tbl_de_massas[id_massa],tbl_de_massas[cartao_fisico_cvv],"--",0,1)</f>
        <v>39</v>
      </c>
      <c r="G19" t="str">
        <f>_xlfn.XLOOKUP(TBL_USUARIOS[[#This Row],[ID_MASSA]],tbl_de_massas[id_massa],tbl_de_massas[cartao_virtual_numero],"--",0,1)</f>
        <v/>
      </c>
      <c r="H19">
        <f>_xlfn.XLOOKUP(TBL_USUARIOS[[#This Row],[ID_MASSA]],tbl_de_massas[id_massa],tbl_de_massas[cartao_virtual_cvv],"--",0,1)</f>
        <v>0</v>
      </c>
    </row>
    <row r="20" spans="1:8" x14ac:dyDescent="0.25">
      <c r="A20" s="2" t="s">
        <v>2265</v>
      </c>
      <c r="B20" s="14" t="str">
        <f>_xlfn.XLOOKUP(TBL_USUARIOS[[#This Row],[ID_MASSA]],tbl_de_massas[id_massa],tbl_de_massas[cpf],"--",0,1)</f>
        <v>34272175349</v>
      </c>
      <c r="C20" t="s">
        <v>12</v>
      </c>
      <c r="D20" t="str">
        <f>_xlfn.XLOOKUP(TBL_USUARIOS[[#This Row],[ID_MASSA]],tbl_de_massas[id_massa],tbl_de_massas[nome_completo],"--",0,1)</f>
        <v>César Braga</v>
      </c>
      <c r="E20" t="str">
        <f>_xlfn.XLOOKUP(TBL_USUARIOS[[#This Row],[ID_MASSA]],tbl_de_massas[id_massa],tbl_de_massas[cartao_fisico_numero],"--",0,1)</f>
        <v>5442 7460 4625 0111</v>
      </c>
      <c r="F20" t="str">
        <f>_xlfn.XLOOKUP(TBL_USUARIOS[[#This Row],[ID_MASSA]],tbl_de_massas[id_massa],tbl_de_massas[cartao_fisico_cvv],"--",0,1)</f>
        <v>349</v>
      </c>
      <c r="G20" t="str">
        <f>_xlfn.XLOOKUP(TBL_USUARIOS[[#This Row],[ID_MASSA]],tbl_de_massas[id_massa],tbl_de_massas[cartao_virtual_numero],"--",0,1)</f>
        <v/>
      </c>
      <c r="H20">
        <f>_xlfn.XLOOKUP(TBL_USUARIOS[[#This Row],[ID_MASSA]],tbl_de_massas[id_massa],tbl_de_massas[cartao_virtual_cvv],"--",0,1)</f>
        <v>0</v>
      </c>
    </row>
    <row r="21" spans="1:8" x14ac:dyDescent="0.25">
      <c r="A21" s="2" t="s">
        <v>2266</v>
      </c>
      <c r="B21" s="14" t="str">
        <f>_xlfn.XLOOKUP(TBL_USUARIOS[[#This Row],[ID_MASSA]],tbl_de_massas[id_massa],tbl_de_massas[cpf],"--",0,1)</f>
        <v>18956389652</v>
      </c>
      <c r="C21" t="s">
        <v>12</v>
      </c>
      <c r="D21" t="str">
        <f>_xlfn.XLOOKUP(TBL_USUARIOS[[#This Row],[ID_MASSA]],tbl_de_massas[id_massa],tbl_de_massas[nome_completo],"--",0,1)</f>
        <v>João Miguel Silva</v>
      </c>
      <c r="E21" t="str">
        <f>_xlfn.XLOOKUP(TBL_USUARIOS[[#This Row],[ID_MASSA]],tbl_de_massas[id_massa],tbl_de_massas[cartao_fisico_numero],"--",0,1)</f>
        <v>5442 7460 8520 0590</v>
      </c>
      <c r="F21" t="str">
        <f>_xlfn.XLOOKUP(TBL_USUARIOS[[#This Row],[ID_MASSA]],tbl_de_massas[id_massa],tbl_de_massas[cartao_fisico_cvv],"--",0,1)</f>
        <v>652</v>
      </c>
      <c r="G21" t="str">
        <f>_xlfn.XLOOKUP(TBL_USUARIOS[[#This Row],[ID_MASSA]],tbl_de_massas[id_massa],tbl_de_massas[cartao_virtual_numero],"--",0,1)</f>
        <v/>
      </c>
      <c r="H21">
        <f>_xlfn.XLOOKUP(TBL_USUARIOS[[#This Row],[ID_MASSA]],tbl_de_massas[id_massa],tbl_de_massas[cartao_virtual_cvv],"--",0,1)</f>
        <v>0</v>
      </c>
    </row>
    <row r="22" spans="1:8" x14ac:dyDescent="0.25">
      <c r="A22" s="2" t="s">
        <v>2267</v>
      </c>
      <c r="B22" s="14" t="str">
        <f>_xlfn.XLOOKUP(TBL_USUARIOS[[#This Row],[ID_MASSA]],tbl_de_massas[id_massa],tbl_de_massas[cpf],"--",0,1)</f>
        <v>90917191782</v>
      </c>
      <c r="C22" t="s">
        <v>12</v>
      </c>
      <c r="D22" t="str">
        <f>_xlfn.XLOOKUP(TBL_USUARIOS[[#This Row],[ID_MASSA]],tbl_de_massas[id_massa],tbl_de_massas[nome_completo],"--",0,1)</f>
        <v>Beatriz Franco</v>
      </c>
      <c r="E22" t="str">
        <f>_xlfn.XLOOKUP(TBL_USUARIOS[[#This Row],[ID_MASSA]],tbl_de_massas[id_massa],tbl_de_massas[cartao_fisico_numero],"--",0,1)</f>
        <v>5442 7460 1171 2107</v>
      </c>
      <c r="F22" t="str">
        <f>_xlfn.XLOOKUP(TBL_USUARIOS[[#This Row],[ID_MASSA]],tbl_de_massas[id_massa],tbl_de_massas[cartao_fisico_cvv],"--",0,1)</f>
        <v>782</v>
      </c>
      <c r="G22" t="str">
        <f>_xlfn.XLOOKUP(TBL_USUARIOS[[#This Row],[ID_MASSA]],tbl_de_massas[id_massa],tbl_de_massas[cartao_virtual_numero],"--",0,1)</f>
        <v/>
      </c>
      <c r="H22">
        <f>_xlfn.XLOOKUP(TBL_USUARIOS[[#This Row],[ID_MASSA]],tbl_de_massas[id_massa],tbl_de_massas[cartao_virtual_cvv],"--",0,1)</f>
        <v>0</v>
      </c>
    </row>
    <row r="23" spans="1:8" x14ac:dyDescent="0.25">
      <c r="A23" s="2" t="s">
        <v>2268</v>
      </c>
      <c r="B23" s="14" t="str">
        <f>_xlfn.XLOOKUP(TBL_USUARIOS[[#This Row],[ID_MASSA]],tbl_de_massas[id_massa],tbl_de_massas[cpf],"--",0,1)</f>
        <v>42718533218</v>
      </c>
      <c r="C23" t="s">
        <v>12</v>
      </c>
      <c r="D23" t="str">
        <f>_xlfn.XLOOKUP(TBL_USUARIOS[[#This Row],[ID_MASSA]],tbl_de_massas[id_massa],tbl_de_massas[nome_completo],"--",0,1)</f>
        <v>Angilran Morin</v>
      </c>
      <c r="E23" t="str">
        <f>_xlfn.XLOOKUP(TBL_USUARIOS[[#This Row],[ID_MASSA]],tbl_de_massas[id_massa],tbl_de_massas[cartao_fisico_numero],"--",0,1)</f>
        <v>5442 7460 7965 5007</v>
      </c>
      <c r="F23" t="str">
        <f>_xlfn.XLOOKUP(TBL_USUARIOS[[#This Row],[ID_MASSA]],tbl_de_massas[id_massa],tbl_de_massas[cartao_fisico_cvv],"--",0,1)</f>
        <v>218</v>
      </c>
      <c r="G23" t="str">
        <f>_xlfn.XLOOKUP(TBL_USUARIOS[[#This Row],[ID_MASSA]],tbl_de_massas[id_massa],tbl_de_massas[cartao_virtual_numero],"--",0,1)</f>
        <v/>
      </c>
      <c r="H23">
        <f>_xlfn.XLOOKUP(TBL_USUARIOS[[#This Row],[ID_MASSA]],tbl_de_massas[id_massa],tbl_de_massas[cartao_virtual_cvv],"--",0,1)</f>
        <v>0</v>
      </c>
    </row>
    <row r="24" spans="1:8" x14ac:dyDescent="0.25">
      <c r="A24" s="2" t="s">
        <v>2269</v>
      </c>
      <c r="B24" s="14" t="str">
        <f>_xlfn.XLOOKUP(TBL_USUARIOS[[#This Row],[ID_MASSA]],tbl_de_massas[id_massa],tbl_de_massas[cpf],"--",0,1)</f>
        <v>07817267197</v>
      </c>
      <c r="C24" t="s">
        <v>12</v>
      </c>
      <c r="D24" t="str">
        <f>_xlfn.XLOOKUP(TBL_USUARIOS[[#This Row],[ID_MASSA]],tbl_de_massas[id_massa],tbl_de_massas[nome_completo],"--",0,1)</f>
        <v>Adrienne Giraud</v>
      </c>
      <c r="E24" t="str">
        <f>_xlfn.XLOOKUP(TBL_USUARIOS[[#This Row],[ID_MASSA]],tbl_de_massas[id_massa],tbl_de_massas[cartao_fisico_numero],"--",0,1)</f>
        <v>4203 1060 2877 0990</v>
      </c>
      <c r="F24" t="str">
        <f>_xlfn.XLOOKUP(TBL_USUARIOS[[#This Row],[ID_MASSA]],tbl_de_massas[id_massa],tbl_de_massas[cartao_fisico_cvv],"--",0,1)</f>
        <v>197</v>
      </c>
      <c r="G24" t="str">
        <f>_xlfn.XLOOKUP(TBL_USUARIOS[[#This Row],[ID_MASSA]],tbl_de_massas[id_massa],tbl_de_massas[cartao_virtual_numero],"--",0,1)</f>
        <v/>
      </c>
      <c r="H24">
        <f>_xlfn.XLOOKUP(TBL_USUARIOS[[#This Row],[ID_MASSA]],tbl_de_massas[id_massa],tbl_de_massas[cartao_virtual_cvv],"--",0,1)</f>
        <v>0</v>
      </c>
    </row>
    <row r="25" spans="1:8" x14ac:dyDescent="0.25">
      <c r="A25" s="2" t="s">
        <v>2270</v>
      </c>
      <c r="B25" s="14" t="str">
        <f>_xlfn.XLOOKUP(TBL_USUARIOS[[#This Row],[ID_MASSA]],tbl_de_massas[id_massa],tbl_de_massas[cpf],"--",0,1)</f>
        <v>12345678901</v>
      </c>
      <c r="C25" t="s">
        <v>12</v>
      </c>
      <c r="D25" t="str">
        <f>_xlfn.XLOOKUP(TBL_USUARIOS[[#This Row],[ID_MASSA]],tbl_de_massas[id_massa],tbl_de_massas[nome_completo],"--",0,1)</f>
        <v>Test User</v>
      </c>
      <c r="E25" t="str">
        <f>_xlfn.XLOOKUP(TBL_USUARIOS[[#This Row],[ID_MASSA]],tbl_de_massas[id_massa],tbl_de_massas[cartao_fisico_numero],"--",0,1)</f>
        <v>6505 2260 9151 8876</v>
      </c>
      <c r="F25" t="str">
        <f>_xlfn.XLOOKUP(TBL_USUARIOS[[#This Row],[ID_MASSA]],tbl_de_massas[id_massa],tbl_de_massas[cartao_fisico_cvv],"--",0,1)</f>
        <v>901</v>
      </c>
      <c r="G25" t="str">
        <f>_xlfn.XLOOKUP(TBL_USUARIOS[[#This Row],[ID_MASSA]],tbl_de_massas[id_massa],tbl_de_massas[cartao_virtual_numero],"--",0,1)</f>
        <v/>
      </c>
      <c r="H25">
        <f>_xlfn.XLOOKUP(TBL_USUARIOS[[#This Row],[ID_MASSA]],tbl_de_massas[id_massa],tbl_de_massas[cartao_virtual_cvv],"--",0,1)</f>
        <v>0</v>
      </c>
    </row>
    <row r="26" spans="1:8" x14ac:dyDescent="0.25">
      <c r="A26" s="2" t="s">
        <v>619</v>
      </c>
      <c r="B26" s="14" t="str">
        <f>_xlfn.XLOOKUP(TBL_USUARIOS[[#This Row],[ID_MASSA]],tbl_de_massas[id_massa],tbl_de_massas[cpf],"--",0,1)</f>
        <v>98765432100</v>
      </c>
      <c r="C26" t="s">
        <v>12</v>
      </c>
      <c r="D26" t="str">
        <f>_xlfn.XLOOKUP(TBL_USUARIOS[[#This Row],[ID_MASSA]],tbl_de_massas[id_massa],tbl_de_massas[nome_completo],"--",0,1)</f>
        <v>User Teste</v>
      </c>
      <c r="E26" t="str">
        <f>_xlfn.XLOOKUP(TBL_USUARIOS[[#This Row],[ID_MASSA]],tbl_de_massas[id_massa],tbl_de_massas[cartao_fisico_numero],"--",0,1)</f>
        <v>5442 7460 8915 7058</v>
      </c>
      <c r="F26" t="str">
        <f>_xlfn.XLOOKUP(TBL_USUARIOS[[#This Row],[ID_MASSA]],tbl_de_massas[id_massa],tbl_de_massas[cartao_fisico_cvv],"--",0,1)</f>
        <v>100</v>
      </c>
      <c r="G26" t="str">
        <f>_xlfn.XLOOKUP(TBL_USUARIOS[[#This Row],[ID_MASSA]],tbl_de_massas[id_massa],tbl_de_massas[cartao_virtual_numero],"--",0,1)</f>
        <v/>
      </c>
      <c r="H26">
        <f>_xlfn.XLOOKUP(TBL_USUARIOS[[#This Row],[ID_MASSA]],tbl_de_massas[id_massa],tbl_de_massas[cartao_virtual_cvv],"--",0,1)</f>
        <v>0</v>
      </c>
    </row>
    <row r="27" spans="1:8" x14ac:dyDescent="0.25">
      <c r="A27" s="2" t="s">
        <v>2271</v>
      </c>
      <c r="B27" s="14" t="str">
        <f>_xlfn.XLOOKUP(TBL_USUARIOS[[#This Row],[ID_MASSA]],tbl_de_massas[id_massa],tbl_de_massas[cpf],"--",0,1)</f>
        <v>17334727380</v>
      </c>
      <c r="C27" t="s">
        <v>12</v>
      </c>
      <c r="D27" t="str">
        <f>_xlfn.XLOOKUP(TBL_USUARIOS[[#This Row],[ID_MASSA]],tbl_de_massas[id_massa],tbl_de_massas[nome_completo],"--",0,1)</f>
        <v>Odile Meunier</v>
      </c>
      <c r="E27" t="str">
        <f>_xlfn.XLOOKUP(TBL_USUARIOS[[#This Row],[ID_MASSA]],tbl_de_massas[id_massa],tbl_de_massas[cartao_fisico_numero],"--",0,1)</f>
        <v>5442 7460 6457 6600</v>
      </c>
      <c r="F27" t="str">
        <f>_xlfn.XLOOKUP(TBL_USUARIOS[[#This Row],[ID_MASSA]],tbl_de_massas[id_massa],tbl_de_massas[cartao_fisico_cvv],"--",0,1)</f>
        <v>380</v>
      </c>
      <c r="G27" t="str">
        <f>_xlfn.XLOOKUP(TBL_USUARIOS[[#This Row],[ID_MASSA]],tbl_de_massas[id_massa],tbl_de_massas[cartao_virtual_numero],"--",0,1)</f>
        <v/>
      </c>
      <c r="H27">
        <f>_xlfn.XLOOKUP(TBL_USUARIOS[[#This Row],[ID_MASSA]],tbl_de_massas[id_massa],tbl_de_massas[cartao_virtual_cvv],"--",0,1)</f>
        <v>0</v>
      </c>
    </row>
    <row r="28" spans="1:8" x14ac:dyDescent="0.25">
      <c r="A28" s="2" t="s">
        <v>2272</v>
      </c>
      <c r="B28" s="14" t="str">
        <f>_xlfn.XLOOKUP(TBL_USUARIOS[[#This Row],[ID_MASSA]],tbl_de_massas[id_massa],tbl_de_massas[cpf],"--",0,1)</f>
        <v>77017682203</v>
      </c>
      <c r="C28" t="s">
        <v>12</v>
      </c>
      <c r="D28" t="str">
        <f>_xlfn.XLOOKUP(TBL_USUARIOS[[#This Row],[ID_MASSA]],tbl_de_massas[id_massa],tbl_de_massas[nome_completo],"--",0,1)</f>
        <v>Albéric Prevost</v>
      </c>
      <c r="E28" t="str">
        <f>_xlfn.XLOOKUP(TBL_USUARIOS[[#This Row],[ID_MASSA]],tbl_de_massas[id_massa],tbl_de_massas[cartao_fisico_numero],"--",0,1)</f>
        <v>5442 7460 3341 8160</v>
      </c>
      <c r="F28" t="str">
        <f>_xlfn.XLOOKUP(TBL_USUARIOS[[#This Row],[ID_MASSA]],tbl_de_massas[id_massa],tbl_de_massas[cartao_fisico_cvv],"--",0,1)</f>
        <v>203</v>
      </c>
      <c r="G28" t="str">
        <f>_xlfn.XLOOKUP(TBL_USUARIOS[[#This Row],[ID_MASSA]],tbl_de_massas[id_massa],tbl_de_massas[cartao_virtual_numero],"--",0,1)</f>
        <v/>
      </c>
      <c r="H28">
        <f>_xlfn.XLOOKUP(TBL_USUARIOS[[#This Row],[ID_MASSA]],tbl_de_massas[id_massa],tbl_de_massas[cartao_virtual_cvv],"--",0,1)</f>
        <v>0</v>
      </c>
    </row>
    <row r="29" spans="1:8" x14ac:dyDescent="0.25">
      <c r="A29" s="2" t="s">
        <v>2273</v>
      </c>
      <c r="B29" s="14" t="str">
        <f>_xlfn.XLOOKUP(TBL_USUARIOS[[#This Row],[ID_MASSA]],tbl_de_massas[id_massa],tbl_de_massas[cpf],"--",0,1)</f>
        <v>95654548522</v>
      </c>
      <c r="C29" t="s">
        <v>12</v>
      </c>
      <c r="D29" t="str">
        <f>_xlfn.XLOOKUP(TBL_USUARIOS[[#This Row],[ID_MASSA]],tbl_de_massas[id_massa],tbl_de_massas[nome_completo],"--",0,1)</f>
        <v>Assomption Sanchez</v>
      </c>
      <c r="E29" t="str">
        <f>_xlfn.XLOOKUP(TBL_USUARIOS[[#This Row],[ID_MASSA]],tbl_de_massas[id_massa],tbl_de_massas[cartao_fisico_numero],"--",0,1)</f>
        <v>5442 7460 9555 7352</v>
      </c>
      <c r="F29" t="str">
        <f>_xlfn.XLOOKUP(TBL_USUARIOS[[#This Row],[ID_MASSA]],tbl_de_massas[id_massa],tbl_de_massas[cartao_fisico_cvv],"--",0,1)</f>
        <v>522</v>
      </c>
      <c r="G29" t="str">
        <f>_xlfn.XLOOKUP(TBL_USUARIOS[[#This Row],[ID_MASSA]],tbl_de_massas[id_massa],tbl_de_massas[cartao_virtual_numero],"--",0,1)</f>
        <v/>
      </c>
      <c r="H29">
        <f>_xlfn.XLOOKUP(TBL_USUARIOS[[#This Row],[ID_MASSA]],tbl_de_massas[id_massa],tbl_de_massas[cartao_virtual_cvv],"--",0,1)</f>
        <v>0</v>
      </c>
    </row>
    <row r="30" spans="1:8" x14ac:dyDescent="0.25">
      <c r="A30" s="2" t="s">
        <v>2274</v>
      </c>
      <c r="B30" s="14" t="str">
        <f>_xlfn.XLOOKUP(TBL_USUARIOS[[#This Row],[ID_MASSA]],tbl_de_massas[id_massa],tbl_de_massas[cpf],"--",0,1)</f>
        <v>77777777777</v>
      </c>
      <c r="C30" t="s">
        <v>12</v>
      </c>
      <c r="D30" t="str">
        <f>_xlfn.XLOOKUP(TBL_USUARIOS[[#This Row],[ID_MASSA]],tbl_de_massas[id_massa],tbl_de_massas[nome_completo],"--",0,1)</f>
        <v>Test User</v>
      </c>
      <c r="E30" t="str">
        <f>_xlfn.XLOOKUP(TBL_USUARIOS[[#This Row],[ID_MASSA]],tbl_de_massas[id_massa],tbl_de_massas[cartao_fisico_numero],"--",0,1)</f>
        <v>5442 7460 6378 1888</v>
      </c>
      <c r="F30" t="str">
        <f>_xlfn.XLOOKUP(TBL_USUARIOS[[#This Row],[ID_MASSA]],tbl_de_massas[id_massa],tbl_de_massas[cartao_fisico_cvv],"--",0,1)</f>
        <v>777</v>
      </c>
      <c r="G30" t="str">
        <f>_xlfn.XLOOKUP(TBL_USUARIOS[[#This Row],[ID_MASSA]],tbl_de_massas[id_massa],tbl_de_massas[cartao_virtual_numero],"--",0,1)</f>
        <v/>
      </c>
      <c r="H30">
        <f>_xlfn.XLOOKUP(TBL_USUARIOS[[#This Row],[ID_MASSA]],tbl_de_massas[id_massa],tbl_de_massas[cartao_virtual_cvv],"--",0,1)</f>
        <v>0</v>
      </c>
    </row>
    <row r="31" spans="1:8" x14ac:dyDescent="0.25">
      <c r="A31" s="2" t="s">
        <v>2275</v>
      </c>
      <c r="B31" s="14" t="str">
        <f>_xlfn.XLOOKUP(TBL_USUARIOS[[#This Row],[ID_MASSA]],tbl_de_massas[id_massa],tbl_de_massas[cpf],"--",0,1)</f>
        <v>88888888888</v>
      </c>
      <c r="C31" t="s">
        <v>12</v>
      </c>
      <c r="D31" t="str">
        <f>_xlfn.XLOOKUP(TBL_USUARIOS[[#This Row],[ID_MASSA]],tbl_de_massas[id_massa],tbl_de_massas[nome_completo],"--",0,1)</f>
        <v>Integration Test User</v>
      </c>
      <c r="E31" t="str">
        <f>_xlfn.XLOOKUP(TBL_USUARIOS[[#This Row],[ID_MASSA]],tbl_de_massas[id_massa],tbl_de_massas[cartao_fisico_numero],"--",0,1)</f>
        <v>5442 7460 9459 2389</v>
      </c>
      <c r="F31" t="str">
        <f>_xlfn.XLOOKUP(TBL_USUARIOS[[#This Row],[ID_MASSA]],tbl_de_massas[id_massa],tbl_de_massas[cartao_fisico_cvv],"--",0,1)</f>
        <v>888</v>
      </c>
      <c r="G31" t="str">
        <f>_xlfn.XLOOKUP(TBL_USUARIOS[[#This Row],[ID_MASSA]],tbl_de_massas[id_massa],tbl_de_massas[cartao_virtual_numero],"--",0,1)</f>
        <v/>
      </c>
      <c r="H31">
        <f>_xlfn.XLOOKUP(TBL_USUARIOS[[#This Row],[ID_MASSA]],tbl_de_massas[id_massa],tbl_de_massas[cartao_virtual_cvv],"--",0,1)</f>
        <v>0</v>
      </c>
    </row>
    <row r="32" spans="1:8" x14ac:dyDescent="0.25">
      <c r="A32" s="2" t="s">
        <v>2276</v>
      </c>
      <c r="B32" s="14" t="str">
        <f>_xlfn.XLOOKUP(TBL_USUARIOS[[#This Row],[ID_MASSA]],tbl_de_massas[id_massa],tbl_de_massas[cpf],"--",0,1)</f>
        <v>19983621512</v>
      </c>
      <c r="C32" t="s">
        <v>12</v>
      </c>
      <c r="D32" t="str">
        <f>_xlfn.XLOOKUP(TBL_USUARIOS[[#This Row],[ID_MASSA]],tbl_de_massas[id_massa],tbl_de_massas[nome_completo],"--",0,1)</f>
        <v>Integration Test User</v>
      </c>
      <c r="E32" t="str">
        <f>_xlfn.XLOOKUP(TBL_USUARIOS[[#This Row],[ID_MASSA]],tbl_de_massas[id_massa],tbl_de_massas[cartao_fisico_numero],"--",0,1)</f>
        <v>5981 0121 1654 6893</v>
      </c>
      <c r="F32" t="str">
        <f>_xlfn.XLOOKUP(TBL_USUARIOS[[#This Row],[ID_MASSA]],tbl_de_massas[id_massa],tbl_de_massas[cartao_fisico_cvv],"--",0,1)</f>
        <v>512</v>
      </c>
      <c r="G32" t="str">
        <f>_xlfn.XLOOKUP(TBL_USUARIOS[[#This Row],[ID_MASSA]],tbl_de_massas[id_massa],tbl_de_massas[cartao_virtual_numero],"--",0,1)</f>
        <v/>
      </c>
      <c r="H32">
        <f>_xlfn.XLOOKUP(TBL_USUARIOS[[#This Row],[ID_MASSA]],tbl_de_massas[id_massa],tbl_de_massas[cartao_virtual_cvv],"--",0,1)</f>
        <v>0</v>
      </c>
    </row>
    <row r="33" spans="1:8" x14ac:dyDescent="0.25">
      <c r="A33" s="2" t="s">
        <v>2277</v>
      </c>
      <c r="B33" s="14" t="str">
        <f>_xlfn.XLOOKUP(TBL_USUARIOS[[#This Row],[ID_MASSA]],tbl_de_massas[id_massa],tbl_de_massas[cpf],"--",0,1)</f>
        <v>87588846615</v>
      </c>
      <c r="C33" t="s">
        <v>12</v>
      </c>
      <c r="D33" t="str">
        <f>_xlfn.XLOOKUP(TBL_USUARIOS[[#This Row],[ID_MASSA]],tbl_de_massas[id_massa],tbl_de_massas[nome_completo],"--",0,1)</f>
        <v>Hermine Duval</v>
      </c>
      <c r="E33" t="str">
        <f>_xlfn.XLOOKUP(TBL_USUARIOS[[#This Row],[ID_MASSA]],tbl_de_massas[id_massa],tbl_de_massas[cartao_fisico_numero],"--",0,1)</f>
        <v>5442 7460 2039 8322</v>
      </c>
      <c r="F33" t="str">
        <f>_xlfn.XLOOKUP(TBL_USUARIOS[[#This Row],[ID_MASSA]],tbl_de_massas[id_massa],tbl_de_massas[cartao_fisico_cvv],"--",0,1)</f>
        <v>615</v>
      </c>
      <c r="G33" t="str">
        <f>_xlfn.XLOOKUP(TBL_USUARIOS[[#This Row],[ID_MASSA]],tbl_de_massas[id_massa],tbl_de_massas[cartao_virtual_numero],"--",0,1)</f>
        <v/>
      </c>
      <c r="H33">
        <f>_xlfn.XLOOKUP(TBL_USUARIOS[[#This Row],[ID_MASSA]],tbl_de_massas[id_massa],tbl_de_massas[cartao_virtual_cvv],"--",0,1)</f>
        <v>0</v>
      </c>
    </row>
    <row r="34" spans="1:8" x14ac:dyDescent="0.25">
      <c r="A34" s="2" t="s">
        <v>2278</v>
      </c>
      <c r="B34" s="14" t="str">
        <f>_xlfn.XLOOKUP(TBL_USUARIOS[[#This Row],[ID_MASSA]],tbl_de_massas[id_massa],tbl_de_massas[cpf],"--",0,1)</f>
        <v>45116448614</v>
      </c>
      <c r="C34" t="s">
        <v>12</v>
      </c>
      <c r="D34" t="str">
        <f>_xlfn.XLOOKUP(TBL_USUARIOS[[#This Row],[ID_MASSA]],tbl_de_massas[id_massa],tbl_de_massas[nome_completo],"--",0,1)</f>
        <v>Ernest Dumont</v>
      </c>
      <c r="E34" t="str">
        <f>_xlfn.XLOOKUP(TBL_USUARIOS[[#This Row],[ID_MASSA]],tbl_de_massas[id_massa],tbl_de_massas[cartao_fisico_numero],"--",0,1)</f>
        <v>5442 7460 9373 8248</v>
      </c>
      <c r="F34" t="str">
        <f>_xlfn.XLOOKUP(TBL_USUARIOS[[#This Row],[ID_MASSA]],tbl_de_massas[id_massa],tbl_de_massas[cartao_fisico_cvv],"--",0,1)</f>
        <v>614</v>
      </c>
      <c r="G34" t="str">
        <f>_xlfn.XLOOKUP(TBL_USUARIOS[[#This Row],[ID_MASSA]],tbl_de_massas[id_massa],tbl_de_massas[cartao_virtual_numero],"--",0,1)</f>
        <v/>
      </c>
      <c r="H34">
        <f>_xlfn.XLOOKUP(TBL_USUARIOS[[#This Row],[ID_MASSA]],tbl_de_massas[id_massa],tbl_de_massas[cartao_virtual_cvv],"--",0,1)</f>
        <v>0</v>
      </c>
    </row>
    <row r="35" spans="1:8" x14ac:dyDescent="0.25">
      <c r="A35" s="2" t="s">
        <v>2279</v>
      </c>
      <c r="B35" s="14" t="str">
        <f>_xlfn.XLOOKUP(TBL_USUARIOS[[#This Row],[ID_MASSA]],tbl_de_massas[id_massa],tbl_de_massas[cpf],"--",0,1)</f>
        <v>71078566429</v>
      </c>
      <c r="C35" t="s">
        <v>12</v>
      </c>
      <c r="D35" t="str">
        <f>_xlfn.XLOOKUP(TBL_USUARIOS[[#This Row],[ID_MASSA]],tbl_de_massas[id_massa],tbl_de_massas[nome_completo],"--",0,1)</f>
        <v>Alban Royer</v>
      </c>
      <c r="E35" t="str">
        <f>_xlfn.XLOOKUP(TBL_USUARIOS[[#This Row],[ID_MASSA]],tbl_de_massas[id_massa],tbl_de_massas[cartao_fisico_numero],"--",0,1)</f>
        <v>5442 7460 3074 5480</v>
      </c>
      <c r="F35" t="str">
        <f>_xlfn.XLOOKUP(TBL_USUARIOS[[#This Row],[ID_MASSA]],tbl_de_massas[id_massa],tbl_de_massas[cartao_fisico_cvv],"--",0,1)</f>
        <v>429</v>
      </c>
      <c r="G35" t="str">
        <f>_xlfn.XLOOKUP(TBL_USUARIOS[[#This Row],[ID_MASSA]],tbl_de_massas[id_massa],tbl_de_massas[cartao_virtual_numero],"--",0,1)</f>
        <v/>
      </c>
      <c r="H35">
        <f>_xlfn.XLOOKUP(TBL_USUARIOS[[#This Row],[ID_MASSA]],tbl_de_massas[id_massa],tbl_de_massas[cartao_virtual_cvv],"--",0,1)</f>
        <v>0</v>
      </c>
    </row>
    <row r="36" spans="1:8" x14ac:dyDescent="0.25">
      <c r="A36" s="2" t="s">
        <v>2280</v>
      </c>
      <c r="B36" s="14" t="str">
        <f>_xlfn.XLOOKUP(TBL_USUARIOS[[#This Row],[ID_MASSA]],tbl_de_massas[id_massa],tbl_de_massas[cpf],"--",0,1)</f>
        <v>34715548313</v>
      </c>
      <c r="C36" t="s">
        <v>12</v>
      </c>
      <c r="D36" t="str">
        <f>_xlfn.XLOOKUP(TBL_USUARIOS[[#This Row],[ID_MASSA]],tbl_de_massas[id_massa],tbl_de_massas[nome_completo],"--",0,1)</f>
        <v>Maurice Meyer</v>
      </c>
      <c r="E36" t="str">
        <f>_xlfn.XLOOKUP(TBL_USUARIOS[[#This Row],[ID_MASSA]],tbl_de_massas[id_massa],tbl_de_massas[cartao_fisico_numero],"--",0,1)</f>
        <v>5442 7460 5940 3931</v>
      </c>
      <c r="F36" t="str">
        <f>_xlfn.XLOOKUP(TBL_USUARIOS[[#This Row],[ID_MASSA]],tbl_de_massas[id_massa],tbl_de_massas[cartao_fisico_cvv],"--",0,1)</f>
        <v>313</v>
      </c>
      <c r="G36" t="str">
        <f>_xlfn.XLOOKUP(TBL_USUARIOS[[#This Row],[ID_MASSA]],tbl_de_massas[id_massa],tbl_de_massas[cartao_virtual_numero],"--",0,1)</f>
        <v/>
      </c>
      <c r="H36">
        <f>_xlfn.XLOOKUP(TBL_USUARIOS[[#This Row],[ID_MASSA]],tbl_de_massas[id_massa],tbl_de_massas[cartao_virtual_cvv],"--",0,1)</f>
        <v>0</v>
      </c>
    </row>
    <row r="37" spans="1:8" x14ac:dyDescent="0.25">
      <c r="A37" s="2" t="s">
        <v>2281</v>
      </c>
      <c r="B37" s="14" t="str">
        <f>_xlfn.XLOOKUP(TBL_USUARIOS[[#This Row],[ID_MASSA]],tbl_de_massas[id_massa],tbl_de_massas[cpf],"--",0,1)</f>
        <v>38882777448</v>
      </c>
      <c r="C37" t="s">
        <v>12</v>
      </c>
      <c r="D37" t="str">
        <f>_xlfn.XLOOKUP(TBL_USUARIOS[[#This Row],[ID_MASSA]],tbl_de_massas[id_massa],tbl_de_massas[nome_completo],"--",0,1)</f>
        <v>Annonciade Poirier</v>
      </c>
      <c r="E37" t="str">
        <f>_xlfn.XLOOKUP(TBL_USUARIOS[[#This Row],[ID_MASSA]],tbl_de_massas[id_massa],tbl_de_massas[cartao_fisico_numero],"--",0,1)</f>
        <v>5442 7460 7026 1006</v>
      </c>
      <c r="F37" t="str">
        <f>_xlfn.XLOOKUP(TBL_USUARIOS[[#This Row],[ID_MASSA]],tbl_de_massas[id_massa],tbl_de_massas[cartao_fisico_cvv],"--",0,1)</f>
        <v>448</v>
      </c>
      <c r="G37" t="str">
        <f>_xlfn.XLOOKUP(TBL_USUARIOS[[#This Row],[ID_MASSA]],tbl_de_massas[id_massa],tbl_de_massas[cartao_virtual_numero],"--",0,1)</f>
        <v/>
      </c>
      <c r="H37">
        <f>_xlfn.XLOOKUP(TBL_USUARIOS[[#This Row],[ID_MASSA]],tbl_de_massas[id_massa],tbl_de_massas[cartao_virtual_cvv],"--",0,1)</f>
        <v>0</v>
      </c>
    </row>
    <row r="38" spans="1:8" x14ac:dyDescent="0.25">
      <c r="A38" s="2" t="s">
        <v>2282</v>
      </c>
      <c r="B38" s="14" t="str">
        <f>_xlfn.XLOOKUP(TBL_USUARIOS[[#This Row],[ID_MASSA]],tbl_de_massas[id_massa],tbl_de_massas[cpf],"--",0,1)</f>
        <v>76925831102</v>
      </c>
      <c r="C38" t="s">
        <v>12</v>
      </c>
      <c r="D38" t="str">
        <f>_xlfn.XLOOKUP(TBL_USUARIOS[[#This Row],[ID_MASSA]],tbl_de_massas[id_massa],tbl_de_massas[nome_completo],"--",0,1)</f>
        <v>Clarisse Dufour</v>
      </c>
      <c r="E38" t="str">
        <f>_xlfn.XLOOKUP(TBL_USUARIOS[[#This Row],[ID_MASSA]],tbl_de_massas[id_massa],tbl_de_massas[cartao_fisico_numero],"--",0,1)</f>
        <v>5442 7460 7177 0889</v>
      </c>
      <c r="F38" t="str">
        <f>_xlfn.XLOOKUP(TBL_USUARIOS[[#This Row],[ID_MASSA]],tbl_de_massas[id_massa],tbl_de_massas[cartao_fisico_cvv],"--",0,1)</f>
        <v>102</v>
      </c>
      <c r="G38" t="str">
        <f>_xlfn.XLOOKUP(TBL_USUARIOS[[#This Row],[ID_MASSA]],tbl_de_massas[id_massa],tbl_de_massas[cartao_virtual_numero],"--",0,1)</f>
        <v/>
      </c>
      <c r="H38">
        <f>_xlfn.XLOOKUP(TBL_USUARIOS[[#This Row],[ID_MASSA]],tbl_de_massas[id_massa],tbl_de_massas[cartao_virtual_cvv],"--",0,1)</f>
        <v>0</v>
      </c>
    </row>
    <row r="39" spans="1:8" x14ac:dyDescent="0.25">
      <c r="A39" s="2" t="s">
        <v>2283</v>
      </c>
      <c r="B39" s="14" t="str">
        <f>_xlfn.XLOOKUP(TBL_USUARIOS[[#This Row],[ID_MASSA]],tbl_de_massas[id_massa],tbl_de_massas[cpf],"--",0,1)</f>
        <v>97504636177</v>
      </c>
      <c r="C39" t="s">
        <v>12</v>
      </c>
      <c r="D39" t="str">
        <f>_xlfn.XLOOKUP(TBL_USUARIOS[[#This Row],[ID_MASSA]],tbl_de_massas[id_massa],tbl_de_massas[nome_completo],"--",0,1)</f>
        <v>Charline Rodriguez</v>
      </c>
      <c r="E39" t="str">
        <f>_xlfn.XLOOKUP(TBL_USUARIOS[[#This Row],[ID_MASSA]],tbl_de_massas[id_massa],tbl_de_massas[cartao_fisico_numero],"--",0,1)</f>
        <v>5442 7460 5470 6527</v>
      </c>
      <c r="F39" t="str">
        <f>_xlfn.XLOOKUP(TBL_USUARIOS[[#This Row],[ID_MASSA]],tbl_de_massas[id_massa],tbl_de_massas[cartao_fisico_cvv],"--",0,1)</f>
        <v>177</v>
      </c>
      <c r="G39" t="str">
        <f>_xlfn.XLOOKUP(TBL_USUARIOS[[#This Row],[ID_MASSA]],tbl_de_massas[id_massa],tbl_de_massas[cartao_virtual_numero],"--",0,1)</f>
        <v/>
      </c>
      <c r="H39">
        <f>_xlfn.XLOOKUP(TBL_USUARIOS[[#This Row],[ID_MASSA]],tbl_de_massas[id_massa],tbl_de_massas[cartao_virtual_cvv],"--",0,1)</f>
        <v>0</v>
      </c>
    </row>
    <row r="40" spans="1:8" x14ac:dyDescent="0.25">
      <c r="A40" s="2" t="s">
        <v>2284</v>
      </c>
      <c r="B40" s="14" t="str">
        <f>_xlfn.XLOOKUP(TBL_USUARIOS[[#This Row],[ID_MASSA]],tbl_de_massas[id_massa],tbl_de_massas[cpf],"--",0,1)</f>
        <v>44794065574</v>
      </c>
      <c r="C40" t="s">
        <v>12</v>
      </c>
      <c r="D40" t="str">
        <f>_xlfn.XLOOKUP(TBL_USUARIOS[[#This Row],[ID_MASSA]],tbl_de_massas[id_massa],tbl_de_massas[nome_completo],"--",0,1)</f>
        <v>Achaire Schmitt</v>
      </c>
      <c r="E40" t="str">
        <f>_xlfn.XLOOKUP(TBL_USUARIOS[[#This Row],[ID_MASSA]],tbl_de_massas[id_massa],tbl_de_massas[cartao_fisico_numero],"--",0,1)</f>
        <v>5442 7460 4040 2844</v>
      </c>
      <c r="F40" t="str">
        <f>_xlfn.XLOOKUP(TBL_USUARIOS[[#This Row],[ID_MASSA]],tbl_de_massas[id_massa],tbl_de_massas[cartao_fisico_cvv],"--",0,1)</f>
        <v>574</v>
      </c>
      <c r="G40" t="str">
        <f>_xlfn.XLOOKUP(TBL_USUARIOS[[#This Row],[ID_MASSA]],tbl_de_massas[id_massa],tbl_de_massas[cartao_virtual_numero],"--",0,1)</f>
        <v/>
      </c>
      <c r="H40">
        <f>_xlfn.XLOOKUP(TBL_USUARIOS[[#This Row],[ID_MASSA]],tbl_de_massas[id_massa],tbl_de_massas[cartao_virtual_cvv],"--",0,1)</f>
        <v>0</v>
      </c>
    </row>
    <row r="41" spans="1:8" x14ac:dyDescent="0.25">
      <c r="A41" s="2" t="s">
        <v>2285</v>
      </c>
      <c r="B41" s="14" t="str">
        <f>_xlfn.XLOOKUP(TBL_USUARIOS[[#This Row],[ID_MASSA]],tbl_de_massas[id_massa],tbl_de_massas[cpf],"--",0,1)</f>
        <v>27888186700</v>
      </c>
      <c r="C41" t="s">
        <v>12</v>
      </c>
      <c r="D41" t="str">
        <f>_xlfn.XLOOKUP(TBL_USUARIOS[[#This Row],[ID_MASSA]],tbl_de_massas[id_massa],tbl_de_massas[nome_completo],"--",0,1)</f>
        <v>René Gautier</v>
      </c>
      <c r="E41" t="str">
        <f>_xlfn.XLOOKUP(TBL_USUARIOS[[#This Row],[ID_MASSA]],tbl_de_massas[id_massa],tbl_de_massas[cartao_fisico_numero],"--",0,1)</f>
        <v>5442 7460 2688 1150</v>
      </c>
      <c r="F41" t="str">
        <f>_xlfn.XLOOKUP(TBL_USUARIOS[[#This Row],[ID_MASSA]],tbl_de_massas[id_massa],tbl_de_massas[cartao_fisico_cvv],"--",0,1)</f>
        <v>700</v>
      </c>
      <c r="G41" t="str">
        <f>_xlfn.XLOOKUP(TBL_USUARIOS[[#This Row],[ID_MASSA]],tbl_de_massas[id_massa],tbl_de_massas[cartao_virtual_numero],"--",0,1)</f>
        <v/>
      </c>
      <c r="H41">
        <f>_xlfn.XLOOKUP(TBL_USUARIOS[[#This Row],[ID_MASSA]],tbl_de_massas[id_massa],tbl_de_massas[cartao_virtual_cvv],"--",0,1)</f>
        <v>0</v>
      </c>
    </row>
    <row r="42" spans="1:8" x14ac:dyDescent="0.25">
      <c r="A42" s="2" t="s">
        <v>2286</v>
      </c>
      <c r="B42" s="14" t="str">
        <f>_xlfn.XLOOKUP(TBL_USUARIOS[[#This Row],[ID_MASSA]],tbl_de_massas[id_massa],tbl_de_massas[cpf],"--",0,1)</f>
        <v>12424713839</v>
      </c>
      <c r="C42" t="s">
        <v>12</v>
      </c>
      <c r="D42" t="str">
        <f>_xlfn.XLOOKUP(TBL_USUARIOS[[#This Row],[ID_MASSA]],tbl_de_massas[id_massa],tbl_de_massas[nome_completo],"--",0,1)</f>
        <v>Abigaelle Michel</v>
      </c>
      <c r="E42" t="str">
        <f>_xlfn.XLOOKUP(TBL_USUARIOS[[#This Row],[ID_MASSA]],tbl_de_massas[id_massa],tbl_de_massas[cartao_fisico_numero],"--",0,1)</f>
        <v>5442 7460 9903 2410</v>
      </c>
      <c r="F42" t="str">
        <f>_xlfn.XLOOKUP(TBL_USUARIOS[[#This Row],[ID_MASSA]],tbl_de_massas[id_massa],tbl_de_massas[cartao_fisico_cvv],"--",0,1)</f>
        <v>839</v>
      </c>
      <c r="G42" t="str">
        <f>_xlfn.XLOOKUP(TBL_USUARIOS[[#This Row],[ID_MASSA]],tbl_de_massas[id_massa],tbl_de_massas[cartao_virtual_numero],"--",0,1)</f>
        <v/>
      </c>
      <c r="H42">
        <f>_xlfn.XLOOKUP(TBL_USUARIOS[[#This Row],[ID_MASSA]],tbl_de_massas[id_massa],tbl_de_massas[cartao_virtual_cvv],"--",0,1)</f>
        <v>0</v>
      </c>
    </row>
    <row r="43" spans="1:8" x14ac:dyDescent="0.25">
      <c r="A43" s="2" t="s">
        <v>2287</v>
      </c>
      <c r="B43" s="14" t="str">
        <f>_xlfn.XLOOKUP(TBL_USUARIOS[[#This Row],[ID_MASSA]],tbl_de_massas[id_massa],tbl_de_massas[cpf],"--",0,1)</f>
        <v>17693911189</v>
      </c>
      <c r="C43" t="s">
        <v>12</v>
      </c>
      <c r="D43" t="str">
        <f>_xlfn.XLOOKUP(TBL_USUARIOS[[#This Row],[ID_MASSA]],tbl_de_massas[id_massa],tbl_de_massas[nome_completo],"--",0,1)</f>
        <v>Blandine Fabre</v>
      </c>
      <c r="E43" t="str">
        <f>_xlfn.XLOOKUP(TBL_USUARIOS[[#This Row],[ID_MASSA]],tbl_de_massas[id_massa],tbl_de_massas[cartao_fisico_numero],"--",0,1)</f>
        <v>5442 7460 3108 7574</v>
      </c>
      <c r="F43" t="str">
        <f>_xlfn.XLOOKUP(TBL_USUARIOS[[#This Row],[ID_MASSA]],tbl_de_massas[id_massa],tbl_de_massas[cartao_fisico_cvv],"--",0,1)</f>
        <v>189</v>
      </c>
      <c r="G43" t="str">
        <f>_xlfn.XLOOKUP(TBL_USUARIOS[[#This Row],[ID_MASSA]],tbl_de_massas[id_massa],tbl_de_massas[cartao_virtual_numero],"--",0,1)</f>
        <v/>
      </c>
      <c r="H43">
        <f>_xlfn.XLOOKUP(TBL_USUARIOS[[#This Row],[ID_MASSA]],tbl_de_massas[id_massa],tbl_de_massas[cartao_virtual_cvv],"--",0,1)</f>
        <v>0</v>
      </c>
    </row>
    <row r="44" spans="1:8" x14ac:dyDescent="0.25">
      <c r="A44" s="2" t="s">
        <v>2288</v>
      </c>
      <c r="B44" s="14" t="str">
        <f>_xlfn.XLOOKUP(TBL_USUARIOS[[#This Row],[ID_MASSA]],tbl_de_massas[id_massa],tbl_de_massas[cpf],"--",0,1)</f>
        <v>81698023189</v>
      </c>
      <c r="C44" t="s">
        <v>12</v>
      </c>
      <c r="D44" t="str">
        <f>_xlfn.XLOOKUP(TBL_USUARIOS[[#This Row],[ID_MASSA]],tbl_de_massas[id_massa],tbl_de_massas[nome_completo],"--",0,1)</f>
        <v>Oury Roche</v>
      </c>
      <c r="E44" t="str">
        <f>_xlfn.XLOOKUP(TBL_USUARIOS[[#This Row],[ID_MASSA]],tbl_de_massas[id_massa],tbl_de_massas[cartao_fisico_numero],"--",0,1)</f>
        <v>5442 7460 6843 4377</v>
      </c>
      <c r="F44" t="str">
        <f>_xlfn.XLOOKUP(TBL_USUARIOS[[#This Row],[ID_MASSA]],tbl_de_massas[id_massa],tbl_de_massas[cartao_fisico_cvv],"--",0,1)</f>
        <v>189</v>
      </c>
      <c r="G44" t="str">
        <f>_xlfn.XLOOKUP(TBL_USUARIOS[[#This Row],[ID_MASSA]],tbl_de_massas[id_massa],tbl_de_massas[cartao_virtual_numero],"--",0,1)</f>
        <v/>
      </c>
      <c r="H44">
        <f>_xlfn.XLOOKUP(TBL_USUARIOS[[#This Row],[ID_MASSA]],tbl_de_massas[id_massa],tbl_de_massas[cartao_virtual_cvv],"--",0,1)</f>
        <v>0</v>
      </c>
    </row>
    <row r="45" spans="1:8" x14ac:dyDescent="0.25">
      <c r="A45" s="2" t="s">
        <v>2289</v>
      </c>
      <c r="B45" s="14" t="str">
        <f>_xlfn.XLOOKUP(TBL_USUARIOS[[#This Row],[ID_MASSA]],tbl_de_massas[id_massa],tbl_de_massas[cpf],"--",0,1)</f>
        <v>24662236606</v>
      </c>
      <c r="C45" t="s">
        <v>12</v>
      </c>
      <c r="D45" t="str">
        <f>_xlfn.XLOOKUP(TBL_USUARIOS[[#This Row],[ID_MASSA]],tbl_de_massas[id_massa],tbl_de_massas[nome_completo],"--",0,1)</f>
        <v>Flavien Rodriguez</v>
      </c>
      <c r="E45" t="str">
        <f>_xlfn.XLOOKUP(TBL_USUARIOS[[#This Row],[ID_MASSA]],tbl_de_massas[id_massa],tbl_de_massas[cartao_fisico_numero],"--",0,1)</f>
        <v>5442 7460 4563 6437</v>
      </c>
      <c r="F45" t="str">
        <f>_xlfn.XLOOKUP(TBL_USUARIOS[[#This Row],[ID_MASSA]],tbl_de_massas[id_massa],tbl_de_massas[cartao_fisico_cvv],"--",0,1)</f>
        <v>606</v>
      </c>
      <c r="G45" t="str">
        <f>_xlfn.XLOOKUP(TBL_USUARIOS[[#This Row],[ID_MASSA]],tbl_de_massas[id_massa],tbl_de_massas[cartao_virtual_numero],"--",0,1)</f>
        <v/>
      </c>
      <c r="H45">
        <f>_xlfn.XLOOKUP(TBL_USUARIOS[[#This Row],[ID_MASSA]],tbl_de_massas[id_massa],tbl_de_massas[cartao_virtual_cvv],"--",0,1)</f>
        <v>0</v>
      </c>
    </row>
    <row r="46" spans="1:8" x14ac:dyDescent="0.25">
      <c r="A46" s="2" t="s">
        <v>2290</v>
      </c>
      <c r="B46" s="14" t="str">
        <f>_xlfn.XLOOKUP(TBL_USUARIOS[[#This Row],[ID_MASSA]],tbl_de_massas[id_massa],tbl_de_massas[cpf],"--",0,1)</f>
        <v>77551164685</v>
      </c>
      <c r="C46" t="s">
        <v>12</v>
      </c>
      <c r="D46" t="str">
        <f>_xlfn.XLOOKUP(TBL_USUARIOS[[#This Row],[ID_MASSA]],tbl_de_massas[id_massa],tbl_de_massas[nome_completo],"--",0,1)</f>
        <v>Jeannel Aubry</v>
      </c>
      <c r="E46" t="str">
        <f>_xlfn.XLOOKUP(TBL_USUARIOS[[#This Row],[ID_MASSA]],tbl_de_massas[id_massa],tbl_de_massas[cartao_fisico_numero],"--",0,1)</f>
        <v>5442 7460 1068 2788</v>
      </c>
      <c r="F46" t="str">
        <f>_xlfn.XLOOKUP(TBL_USUARIOS[[#This Row],[ID_MASSA]],tbl_de_massas[id_massa],tbl_de_massas[cartao_fisico_cvv],"--",0,1)</f>
        <v>685</v>
      </c>
      <c r="G46" t="str">
        <f>_xlfn.XLOOKUP(TBL_USUARIOS[[#This Row],[ID_MASSA]],tbl_de_massas[id_massa],tbl_de_massas[cartao_virtual_numero],"--",0,1)</f>
        <v/>
      </c>
      <c r="H46">
        <f>_xlfn.XLOOKUP(TBL_USUARIOS[[#This Row],[ID_MASSA]],tbl_de_massas[id_massa],tbl_de_massas[cartao_virtual_cvv],"--",0,1)</f>
        <v>0</v>
      </c>
    </row>
    <row r="47" spans="1:8" x14ac:dyDescent="0.25">
      <c r="A47" s="2" t="s">
        <v>2291</v>
      </c>
      <c r="B47" s="14" t="str">
        <f>_xlfn.XLOOKUP(TBL_USUARIOS[[#This Row],[ID_MASSA]],tbl_de_massas[id_massa],tbl_de_massas[cpf],"--",0,1)</f>
        <v>77529588591</v>
      </c>
      <c r="C47" t="s">
        <v>12</v>
      </c>
      <c r="D47" t="str">
        <f>_xlfn.XLOOKUP(TBL_USUARIOS[[#This Row],[ID_MASSA]],tbl_de_massas[id_massa],tbl_de_massas[nome_completo],"--",0,1)</f>
        <v>Nathalie Fournier</v>
      </c>
      <c r="E47" t="str">
        <f>_xlfn.XLOOKUP(TBL_USUARIOS[[#This Row],[ID_MASSA]],tbl_de_massas[id_massa],tbl_de_massas[cartao_fisico_numero],"--",0,1)</f>
        <v>5442 7460 9991 0293</v>
      </c>
      <c r="F47" t="str">
        <f>_xlfn.XLOOKUP(TBL_USUARIOS[[#This Row],[ID_MASSA]],tbl_de_massas[id_massa],tbl_de_massas[cartao_fisico_cvv],"--",0,1)</f>
        <v>591</v>
      </c>
      <c r="G47" t="str">
        <f>_xlfn.XLOOKUP(TBL_USUARIOS[[#This Row],[ID_MASSA]],tbl_de_massas[id_massa],tbl_de_massas[cartao_virtual_numero],"--",0,1)</f>
        <v/>
      </c>
      <c r="H47">
        <f>_xlfn.XLOOKUP(TBL_USUARIOS[[#This Row],[ID_MASSA]],tbl_de_massas[id_massa],tbl_de_massas[cartao_virtual_cvv],"--",0,1)</f>
        <v>0</v>
      </c>
    </row>
    <row r="48" spans="1:8" x14ac:dyDescent="0.25">
      <c r="A48" s="2" t="s">
        <v>2292</v>
      </c>
      <c r="B48" s="14" t="str">
        <f>_xlfn.XLOOKUP(TBL_USUARIOS[[#This Row],[ID_MASSA]],tbl_de_massas[id_massa],tbl_de_massas[cpf],"--",0,1)</f>
        <v>65184684166</v>
      </c>
      <c r="C48" t="s">
        <v>12</v>
      </c>
      <c r="D48" t="str">
        <f>_xlfn.XLOOKUP(TBL_USUARIOS[[#This Row],[ID_MASSA]],tbl_de_massas[id_massa],tbl_de_massas[nome_completo],"--",0,1)</f>
        <v>Anceline Gauthier</v>
      </c>
      <c r="E48" t="str">
        <f>_xlfn.XLOOKUP(TBL_USUARIOS[[#This Row],[ID_MASSA]],tbl_de_massas[id_massa],tbl_de_massas[cartao_fisico_numero],"--",0,1)</f>
        <v>5442 7460 4947 8021</v>
      </c>
      <c r="F48" t="str">
        <f>_xlfn.XLOOKUP(TBL_USUARIOS[[#This Row],[ID_MASSA]],tbl_de_massas[id_massa],tbl_de_massas[cartao_fisico_cvv],"--",0,1)</f>
        <v>166</v>
      </c>
      <c r="G48" t="str">
        <f>_xlfn.XLOOKUP(TBL_USUARIOS[[#This Row],[ID_MASSA]],tbl_de_massas[id_massa],tbl_de_massas[cartao_virtual_numero],"--",0,1)</f>
        <v/>
      </c>
      <c r="H48">
        <f>_xlfn.XLOOKUP(TBL_USUARIOS[[#This Row],[ID_MASSA]],tbl_de_massas[id_massa],tbl_de_massas[cartao_virtual_cvv],"--",0,1)</f>
        <v>0</v>
      </c>
    </row>
    <row r="49" spans="1:8" x14ac:dyDescent="0.25">
      <c r="A49" s="2" t="s">
        <v>2293</v>
      </c>
      <c r="B49" s="14" t="str">
        <f>_xlfn.XLOOKUP(TBL_USUARIOS[[#This Row],[ID_MASSA]],tbl_de_massas[id_massa],tbl_de_massas[cpf],"--",0,1)</f>
        <v>28818393472</v>
      </c>
      <c r="C49" t="s">
        <v>12</v>
      </c>
      <c r="D49" t="str">
        <f>_xlfn.XLOOKUP(TBL_USUARIOS[[#This Row],[ID_MASSA]],tbl_de_massas[id_massa],tbl_de_massas[nome_completo],"--",0,1)</f>
        <v>Émile Clement</v>
      </c>
      <c r="E49" t="str">
        <f>_xlfn.XLOOKUP(TBL_USUARIOS[[#This Row],[ID_MASSA]],tbl_de_massas[id_massa],tbl_de_massas[cartao_fisico_numero],"--",0,1)</f>
        <v>5442 7460 1737 5584</v>
      </c>
      <c r="F49" t="str">
        <f>_xlfn.XLOOKUP(TBL_USUARIOS[[#This Row],[ID_MASSA]],tbl_de_massas[id_massa],tbl_de_massas[cartao_fisico_cvv],"--",0,1)</f>
        <v>472</v>
      </c>
      <c r="G49" t="str">
        <f>_xlfn.XLOOKUP(TBL_USUARIOS[[#This Row],[ID_MASSA]],tbl_de_massas[id_massa],tbl_de_massas[cartao_virtual_numero],"--",0,1)</f>
        <v/>
      </c>
      <c r="H49">
        <f>_xlfn.XLOOKUP(TBL_USUARIOS[[#This Row],[ID_MASSA]],tbl_de_massas[id_massa],tbl_de_massas[cartao_virtual_cvv],"--",0,1)</f>
        <v>0</v>
      </c>
    </row>
    <row r="50" spans="1:8" x14ac:dyDescent="0.25">
      <c r="A50" s="2" t="s">
        <v>2294</v>
      </c>
      <c r="B50" s="14" t="str">
        <f>_xlfn.XLOOKUP(TBL_USUARIOS[[#This Row],[ID_MASSA]],tbl_de_massas[id_massa],tbl_de_massas[cpf],"--",0,1)</f>
        <v>81722521295</v>
      </c>
      <c r="C50" t="s">
        <v>12</v>
      </c>
      <c r="D50" t="str">
        <f>_xlfn.XLOOKUP(TBL_USUARIOS[[#This Row],[ID_MASSA]],tbl_de_massas[id_massa],tbl_de_massas[nome_completo],"--",0,1)</f>
        <v>Hector Paris</v>
      </c>
      <c r="E50" t="str">
        <f>_xlfn.XLOOKUP(TBL_USUARIOS[[#This Row],[ID_MASSA]],tbl_de_massas[id_massa],tbl_de_massas[cartao_fisico_numero],"--",0,1)</f>
        <v>5442 7460 9108 3526</v>
      </c>
      <c r="F50" t="str">
        <f>_xlfn.XLOOKUP(TBL_USUARIOS[[#This Row],[ID_MASSA]],tbl_de_massas[id_massa],tbl_de_massas[cartao_fisico_cvv],"--",0,1)</f>
        <v>295</v>
      </c>
      <c r="G50" t="str">
        <f>_xlfn.XLOOKUP(TBL_USUARIOS[[#This Row],[ID_MASSA]],tbl_de_massas[id_massa],tbl_de_massas[cartao_virtual_numero],"--",0,1)</f>
        <v/>
      </c>
      <c r="H50">
        <f>_xlfn.XLOOKUP(TBL_USUARIOS[[#This Row],[ID_MASSA]],tbl_de_massas[id_massa],tbl_de_massas[cartao_virtual_cvv],"--",0,1)</f>
        <v>0</v>
      </c>
    </row>
    <row r="51" spans="1:8" x14ac:dyDescent="0.25">
      <c r="A51" s="2" t="s">
        <v>2295</v>
      </c>
      <c r="B51" s="14" t="str">
        <f>_xlfn.XLOOKUP(TBL_USUARIOS[[#This Row],[ID_MASSA]],tbl_de_massas[id_massa],tbl_de_massas[cpf],"--",0,1)</f>
        <v>67154864257</v>
      </c>
      <c r="C51" t="s">
        <v>12</v>
      </c>
      <c r="D51" t="str">
        <f>_xlfn.XLOOKUP(TBL_USUARIOS[[#This Row],[ID_MASSA]],tbl_de_massas[id_massa],tbl_de_massas[nome_completo],"--",0,1)</f>
        <v>Prosper Julien</v>
      </c>
      <c r="E51" t="str">
        <f>_xlfn.XLOOKUP(TBL_USUARIOS[[#This Row],[ID_MASSA]],tbl_de_massas[id_massa],tbl_de_massas[cartao_fisico_numero],"--",0,1)</f>
        <v>5442 7460 3333 2884</v>
      </c>
      <c r="F51" t="str">
        <f>_xlfn.XLOOKUP(TBL_USUARIOS[[#This Row],[ID_MASSA]],tbl_de_massas[id_massa],tbl_de_massas[cartao_fisico_cvv],"--",0,1)</f>
        <v>257</v>
      </c>
      <c r="G51" t="str">
        <f>_xlfn.XLOOKUP(TBL_USUARIOS[[#This Row],[ID_MASSA]],tbl_de_massas[id_massa],tbl_de_massas[cartao_virtual_numero],"--",0,1)</f>
        <v/>
      </c>
      <c r="H51">
        <f>_xlfn.XLOOKUP(TBL_USUARIOS[[#This Row],[ID_MASSA]],tbl_de_massas[id_massa],tbl_de_massas[cartao_virtual_cvv],"--",0,1)</f>
        <v>0</v>
      </c>
    </row>
    <row r="52" spans="1:8" x14ac:dyDescent="0.25">
      <c r="A52" s="2" t="s">
        <v>2296</v>
      </c>
      <c r="B52" s="14" t="str">
        <f>_xlfn.XLOOKUP(TBL_USUARIOS[[#This Row],[ID_MASSA]],tbl_de_massas[id_massa],tbl_de_massas[cpf],"--",0,1)</f>
        <v>16165143539</v>
      </c>
      <c r="C52" t="s">
        <v>12</v>
      </c>
      <c r="D52" t="str">
        <f>_xlfn.XLOOKUP(TBL_USUARIOS[[#This Row],[ID_MASSA]],tbl_de_massas[id_massa],tbl_de_massas[nome_completo],"--",0,1)</f>
        <v>Moïsette Maillard</v>
      </c>
      <c r="E52" t="str">
        <f>_xlfn.XLOOKUP(TBL_USUARIOS[[#This Row],[ID_MASSA]],tbl_de_massas[id_massa],tbl_de_massas[cartao_fisico_numero],"--",0,1)</f>
        <v>5442 7460 5909 1739</v>
      </c>
      <c r="F52" t="str">
        <f>_xlfn.XLOOKUP(TBL_USUARIOS[[#This Row],[ID_MASSA]],tbl_de_massas[id_massa],tbl_de_massas[cartao_fisico_cvv],"--",0,1)</f>
        <v>539</v>
      </c>
      <c r="G52" t="str">
        <f>_xlfn.XLOOKUP(TBL_USUARIOS[[#This Row],[ID_MASSA]],tbl_de_massas[id_massa],tbl_de_massas[cartao_virtual_numero],"--",0,1)</f>
        <v/>
      </c>
      <c r="H52">
        <f>_xlfn.XLOOKUP(TBL_USUARIOS[[#This Row],[ID_MASSA]],tbl_de_massas[id_massa],tbl_de_massas[cartao_virtual_cvv],"--",0,1)</f>
        <v>0</v>
      </c>
    </row>
    <row r="53" spans="1:8" x14ac:dyDescent="0.25">
      <c r="A53" s="2" t="s">
        <v>2297</v>
      </c>
      <c r="B53" s="14" t="str">
        <f>_xlfn.XLOOKUP(TBL_USUARIOS[[#This Row],[ID_MASSA]],tbl_de_massas[id_massa],tbl_de_massas[cpf],"--",0,1)</f>
        <v>26775244657</v>
      </c>
      <c r="C53" t="s">
        <v>12</v>
      </c>
      <c r="D53" t="str">
        <f>_xlfn.XLOOKUP(TBL_USUARIOS[[#This Row],[ID_MASSA]],tbl_de_massas[id_massa],tbl_de_massas[nome_completo],"--",0,1)</f>
        <v>Isidore Morin</v>
      </c>
      <c r="E53" t="str">
        <f>_xlfn.XLOOKUP(TBL_USUARIOS[[#This Row],[ID_MASSA]],tbl_de_massas[id_massa],tbl_de_massas[cartao_fisico_numero],"--",0,1)</f>
        <v>5442 7460 9242 0200</v>
      </c>
      <c r="F53" t="str">
        <f>_xlfn.XLOOKUP(TBL_USUARIOS[[#This Row],[ID_MASSA]],tbl_de_massas[id_massa],tbl_de_massas[cartao_fisico_cvv],"--",0,1)</f>
        <v>657</v>
      </c>
      <c r="G53" t="str">
        <f>_xlfn.XLOOKUP(TBL_USUARIOS[[#This Row],[ID_MASSA]],tbl_de_massas[id_massa],tbl_de_massas[cartao_virtual_numero],"--",0,1)</f>
        <v/>
      </c>
      <c r="H53">
        <f>_xlfn.XLOOKUP(TBL_USUARIOS[[#This Row],[ID_MASSA]],tbl_de_massas[id_massa],tbl_de_massas[cartao_virtual_cvv],"--",0,1)</f>
        <v>0</v>
      </c>
    </row>
    <row r="54" spans="1:8" x14ac:dyDescent="0.25">
      <c r="A54" s="2" t="s">
        <v>2298</v>
      </c>
      <c r="B54" s="14" t="str">
        <f>_xlfn.XLOOKUP(TBL_USUARIOS[[#This Row],[ID_MASSA]],tbl_de_massas[id_massa],tbl_de_massas[cpf],"--",0,1)</f>
        <v>43204282856</v>
      </c>
      <c r="C54" t="s">
        <v>12</v>
      </c>
      <c r="D54" t="str">
        <f>_xlfn.XLOOKUP(TBL_USUARIOS[[#This Row],[ID_MASSA]],tbl_de_massas[id_massa],tbl_de_massas[nome_completo],"--",0,1)</f>
        <v>Absalon Olivier</v>
      </c>
      <c r="E54" t="str">
        <f>_xlfn.XLOOKUP(TBL_USUARIOS[[#This Row],[ID_MASSA]],tbl_de_massas[id_massa],tbl_de_massas[cartao_fisico_numero],"--",0,1)</f>
        <v>5442 7460 6216 3719</v>
      </c>
      <c r="F54" t="str">
        <f>_xlfn.XLOOKUP(TBL_USUARIOS[[#This Row],[ID_MASSA]],tbl_de_massas[id_massa],tbl_de_massas[cartao_fisico_cvv],"--",0,1)</f>
        <v>856</v>
      </c>
      <c r="G54" t="str">
        <f>_xlfn.XLOOKUP(TBL_USUARIOS[[#This Row],[ID_MASSA]],tbl_de_massas[id_massa],tbl_de_massas[cartao_virtual_numero],"--",0,1)</f>
        <v/>
      </c>
      <c r="H54">
        <f>_xlfn.XLOOKUP(TBL_USUARIOS[[#This Row],[ID_MASSA]],tbl_de_massas[id_massa],tbl_de_massas[cartao_virtual_cvv],"--",0,1)</f>
        <v>0</v>
      </c>
    </row>
    <row r="55" spans="1:8" x14ac:dyDescent="0.25">
      <c r="A55" s="2" t="s">
        <v>2299</v>
      </c>
      <c r="B55" s="14" t="str">
        <f>_xlfn.XLOOKUP(TBL_USUARIOS[[#This Row],[ID_MASSA]],tbl_de_massas[id_massa],tbl_de_massas[cpf],"--",0,1)</f>
        <v>41689983639</v>
      </c>
      <c r="C55" t="s">
        <v>12</v>
      </c>
      <c r="D55" t="str">
        <f>_xlfn.XLOOKUP(TBL_USUARIOS[[#This Row],[ID_MASSA]],tbl_de_massas[id_massa],tbl_de_massas[nome_completo],"--",0,1)</f>
        <v>Armandine Joly</v>
      </c>
      <c r="E55" t="str">
        <f>_xlfn.XLOOKUP(TBL_USUARIOS[[#This Row],[ID_MASSA]],tbl_de_massas[id_massa],tbl_de_massas[cartao_fisico_numero],"--",0,1)</f>
        <v>5442 7460 2232 1307</v>
      </c>
      <c r="F55" t="str">
        <f>_xlfn.XLOOKUP(TBL_USUARIOS[[#This Row],[ID_MASSA]],tbl_de_massas[id_massa],tbl_de_massas[cartao_fisico_cvv],"--",0,1)</f>
        <v>639</v>
      </c>
      <c r="G55" t="str">
        <f>_xlfn.XLOOKUP(TBL_USUARIOS[[#This Row],[ID_MASSA]],tbl_de_massas[id_massa],tbl_de_massas[cartao_virtual_numero],"--",0,1)</f>
        <v/>
      </c>
      <c r="H55">
        <f>_xlfn.XLOOKUP(TBL_USUARIOS[[#This Row],[ID_MASSA]],tbl_de_massas[id_massa],tbl_de_massas[cartao_virtual_cvv],"--",0,1)</f>
        <v>0</v>
      </c>
    </row>
    <row r="56" spans="1:8" x14ac:dyDescent="0.25">
      <c r="A56" s="2" t="s">
        <v>2300</v>
      </c>
      <c r="B56" s="14" t="str">
        <f>_xlfn.XLOOKUP(TBL_USUARIOS[[#This Row],[ID_MASSA]],tbl_de_massas[id_massa],tbl_de_massas[cpf],"--",0,1)</f>
        <v>12345678909</v>
      </c>
      <c r="C56" t="s">
        <v>12</v>
      </c>
      <c r="D56" t="str">
        <f>_xlfn.XLOOKUP(TBL_USUARIOS[[#This Row],[ID_MASSA]],tbl_de_massas[id_massa],tbl_de_massas[nome_completo],"--",0,1)</f>
        <v>Test User</v>
      </c>
      <c r="E56" t="str">
        <f>_xlfn.XLOOKUP(TBL_USUARIOS[[#This Row],[ID_MASSA]],tbl_de_massas[id_massa],tbl_de_massas[cartao_fisico_numero],"--",0,1)</f>
        <v>5442 7460 0887 2353</v>
      </c>
      <c r="F56" t="str">
        <f>_xlfn.XLOOKUP(TBL_USUARIOS[[#This Row],[ID_MASSA]],tbl_de_massas[id_massa],tbl_de_massas[cartao_fisico_cvv],"--",0,1)</f>
        <v>909</v>
      </c>
      <c r="G56" t="str">
        <f>_xlfn.XLOOKUP(TBL_USUARIOS[[#This Row],[ID_MASSA]],tbl_de_massas[id_massa],tbl_de_massas[cartao_virtual_numero],"--",0,1)</f>
        <v/>
      </c>
      <c r="H56">
        <f>_xlfn.XLOOKUP(TBL_USUARIOS[[#This Row],[ID_MASSA]],tbl_de_massas[id_massa],tbl_de_massas[cartao_virtual_cvv],"--",0,1)</f>
        <v>0</v>
      </c>
    </row>
    <row r="57" spans="1:8" x14ac:dyDescent="0.25">
      <c r="A57" s="2" t="s">
        <v>2301</v>
      </c>
      <c r="B57" s="14" t="str">
        <f>_xlfn.XLOOKUP(TBL_USUARIOS[[#This Row],[ID_MASSA]],tbl_de_massas[id_massa],tbl_de_massas[cpf],"--",0,1)</f>
        <v>64866656883</v>
      </c>
      <c r="C57" t="s">
        <v>12</v>
      </c>
      <c r="D57" t="str">
        <f>_xlfn.XLOOKUP(TBL_USUARIOS[[#This Row],[ID_MASSA]],tbl_de_massas[id_massa],tbl_de_massas[nome_completo],"--",0,1)</f>
        <v>Archambaud Remy</v>
      </c>
      <c r="E57" t="str">
        <f>_xlfn.XLOOKUP(TBL_USUARIOS[[#This Row],[ID_MASSA]],tbl_de_massas[id_massa],tbl_de_massas[cartao_fisico_numero],"--",0,1)</f>
        <v>5442 7460 5774 1894</v>
      </c>
      <c r="F57" t="str">
        <f>_xlfn.XLOOKUP(TBL_USUARIOS[[#This Row],[ID_MASSA]],tbl_de_massas[id_massa],tbl_de_massas[cartao_fisico_cvv],"--",0,1)</f>
        <v>883</v>
      </c>
      <c r="G57" t="str">
        <f>_xlfn.XLOOKUP(TBL_USUARIOS[[#This Row],[ID_MASSA]],tbl_de_massas[id_massa],tbl_de_massas[cartao_virtual_numero],"--",0,1)</f>
        <v/>
      </c>
      <c r="H57">
        <f>_xlfn.XLOOKUP(TBL_USUARIOS[[#This Row],[ID_MASSA]],tbl_de_massas[id_massa],tbl_de_massas[cartao_virtual_cvv],"--",0,1)</f>
        <v>0</v>
      </c>
    </row>
    <row r="58" spans="1:8" x14ac:dyDescent="0.25">
      <c r="A58" s="2" t="s">
        <v>2302</v>
      </c>
      <c r="B58" s="14" t="str">
        <f>_xlfn.XLOOKUP(TBL_USUARIOS[[#This Row],[ID_MASSA]],tbl_de_massas[id_massa],tbl_de_massas[cpf],"--",0,1)</f>
        <v>24719788947</v>
      </c>
      <c r="C58" t="s">
        <v>12</v>
      </c>
      <c r="D58" t="str">
        <f>_xlfn.XLOOKUP(TBL_USUARIOS[[#This Row],[ID_MASSA]],tbl_de_massas[id_massa],tbl_de_massas[nome_completo],"--",0,1)</f>
        <v>Philothée Charles</v>
      </c>
      <c r="E58" t="str">
        <f>_xlfn.XLOOKUP(TBL_USUARIOS[[#This Row],[ID_MASSA]],tbl_de_massas[id_massa],tbl_de_massas[cartao_fisico_numero],"--",0,1)</f>
        <v>5442 7460 6080 0554</v>
      </c>
      <c r="F58" t="str">
        <f>_xlfn.XLOOKUP(TBL_USUARIOS[[#This Row],[ID_MASSA]],tbl_de_massas[id_massa],tbl_de_massas[cartao_fisico_cvv],"--",0,1)</f>
        <v>947</v>
      </c>
      <c r="G58" t="str">
        <f>_xlfn.XLOOKUP(TBL_USUARIOS[[#This Row],[ID_MASSA]],tbl_de_massas[id_massa],tbl_de_massas[cartao_virtual_numero],"--",0,1)</f>
        <v/>
      </c>
      <c r="H58">
        <f>_xlfn.XLOOKUP(TBL_USUARIOS[[#This Row],[ID_MASSA]],tbl_de_massas[id_massa],tbl_de_massas[cartao_virtual_cvv],"--",0,1)</f>
        <v>0</v>
      </c>
    </row>
    <row r="59" spans="1:8" x14ac:dyDescent="0.25">
      <c r="A59" s="2" t="s">
        <v>2303</v>
      </c>
      <c r="B59" s="14" t="str">
        <f>_xlfn.XLOOKUP(TBL_USUARIOS[[#This Row],[ID_MASSA]],tbl_de_massas[id_massa],tbl_de_massas[cpf],"--",0,1)</f>
        <v>16266323249</v>
      </c>
      <c r="C59" t="s">
        <v>12</v>
      </c>
      <c r="D59" t="str">
        <f>_xlfn.XLOOKUP(TBL_USUARIOS[[#This Row],[ID_MASSA]],tbl_de_massas[id_massa],tbl_de_massas[nome_completo],"--",0,1)</f>
        <v>Flore Schmitt</v>
      </c>
      <c r="E59" t="str">
        <f>_xlfn.XLOOKUP(TBL_USUARIOS[[#This Row],[ID_MASSA]],tbl_de_massas[id_massa],tbl_de_massas[cartao_fisico_numero],"--",0,1)</f>
        <v>5442 7460 9163 1125</v>
      </c>
      <c r="F59" t="str">
        <f>_xlfn.XLOOKUP(TBL_USUARIOS[[#This Row],[ID_MASSA]],tbl_de_massas[id_massa],tbl_de_massas[cartao_fisico_cvv],"--",0,1)</f>
        <v>249</v>
      </c>
      <c r="G59" t="str">
        <f>_xlfn.XLOOKUP(TBL_USUARIOS[[#This Row],[ID_MASSA]],tbl_de_massas[id_massa],tbl_de_massas[cartao_virtual_numero],"--",0,1)</f>
        <v/>
      </c>
      <c r="H59">
        <f>_xlfn.XLOOKUP(TBL_USUARIOS[[#This Row],[ID_MASSA]],tbl_de_massas[id_massa],tbl_de_massas[cartao_virtual_cvv],"--",0,1)</f>
        <v>0</v>
      </c>
    </row>
    <row r="60" spans="1:8" x14ac:dyDescent="0.25">
      <c r="A60" s="2" t="s">
        <v>2304</v>
      </c>
      <c r="B60" s="14" t="str">
        <f>_xlfn.XLOOKUP(TBL_USUARIOS[[#This Row],[ID_MASSA]],tbl_de_massas[id_massa],tbl_de_massas[cpf],"--",0,1)</f>
        <v>85246671844</v>
      </c>
      <c r="C60" t="s">
        <v>12</v>
      </c>
      <c r="D60" t="str">
        <f>_xlfn.XLOOKUP(TBL_USUARIOS[[#This Row],[ID_MASSA]],tbl_de_massas[id_massa],tbl_de_massas[nome_completo],"--",0,1)</f>
        <v>Falba David</v>
      </c>
      <c r="E60" t="str">
        <f>_xlfn.XLOOKUP(TBL_USUARIOS[[#This Row],[ID_MASSA]],tbl_de_massas[id_massa],tbl_de_massas[cartao_fisico_numero],"--",0,1)</f>
        <v>5442 7460 2333 1185</v>
      </c>
      <c r="F60" t="str">
        <f>_xlfn.XLOOKUP(TBL_USUARIOS[[#This Row],[ID_MASSA]],tbl_de_massas[id_massa],tbl_de_massas[cartao_fisico_cvv],"--",0,1)</f>
        <v>844</v>
      </c>
      <c r="G60" t="str">
        <f>_xlfn.XLOOKUP(TBL_USUARIOS[[#This Row],[ID_MASSA]],tbl_de_massas[id_massa],tbl_de_massas[cartao_virtual_numero],"--",0,1)</f>
        <v/>
      </c>
      <c r="H60">
        <f>_xlfn.XLOOKUP(TBL_USUARIOS[[#This Row],[ID_MASSA]],tbl_de_massas[id_massa],tbl_de_massas[cartao_virtual_cvv],"--",0,1)</f>
        <v>0</v>
      </c>
    </row>
    <row r="61" spans="1:8" x14ac:dyDescent="0.25">
      <c r="A61" s="2" t="s">
        <v>2305</v>
      </c>
      <c r="B61" s="14" t="str">
        <f>_xlfn.XLOOKUP(TBL_USUARIOS[[#This Row],[ID_MASSA]],tbl_de_massas[id_massa],tbl_de_massas[cpf],"--",0,1)</f>
        <v>64332859618</v>
      </c>
      <c r="C61" t="s">
        <v>12</v>
      </c>
      <c r="D61" t="str">
        <f>_xlfn.XLOOKUP(TBL_USUARIOS[[#This Row],[ID_MASSA]],tbl_de_massas[id_massa],tbl_de_massas[nome_completo],"--",0,1)</f>
        <v>Xavier Thomas</v>
      </c>
      <c r="E61" t="str">
        <f>_xlfn.XLOOKUP(TBL_USUARIOS[[#This Row],[ID_MASSA]],tbl_de_massas[id_massa],tbl_de_massas[cartao_fisico_numero],"--",0,1)</f>
        <v>5442 7460 5170 1435</v>
      </c>
      <c r="F61" t="str">
        <f>_xlfn.XLOOKUP(TBL_USUARIOS[[#This Row],[ID_MASSA]],tbl_de_massas[id_massa],tbl_de_massas[cartao_fisico_cvv],"--",0,1)</f>
        <v>618</v>
      </c>
      <c r="G61" t="str">
        <f>_xlfn.XLOOKUP(TBL_USUARIOS[[#This Row],[ID_MASSA]],tbl_de_massas[id_massa],tbl_de_massas[cartao_virtual_numero],"--",0,1)</f>
        <v/>
      </c>
      <c r="H61">
        <f>_xlfn.XLOOKUP(TBL_USUARIOS[[#This Row],[ID_MASSA]],tbl_de_massas[id_massa],tbl_de_massas[cartao_virtual_cvv],"--",0,1)</f>
        <v>0</v>
      </c>
    </row>
    <row r="62" spans="1:8" x14ac:dyDescent="0.25">
      <c r="A62" s="2" t="s">
        <v>2306</v>
      </c>
      <c r="B62" s="14" t="str">
        <f>_xlfn.XLOOKUP(TBL_USUARIOS[[#This Row],[ID_MASSA]],tbl_de_massas[id_massa],tbl_de_massas[cpf],"--",0,1)</f>
        <v>60107482754</v>
      </c>
      <c r="C62" t="s">
        <v>12</v>
      </c>
      <c r="D62" t="str">
        <f>_xlfn.XLOOKUP(TBL_USUARIOS[[#This Row],[ID_MASSA]],tbl_de_massas[id_massa],tbl_de_massas[nome_completo],"--",0,1)</f>
        <v>Eudoxie Pons</v>
      </c>
      <c r="E62" t="str">
        <f>_xlfn.XLOOKUP(TBL_USUARIOS[[#This Row],[ID_MASSA]],tbl_de_massas[id_massa],tbl_de_massas[cartao_fisico_numero],"--",0,1)</f>
        <v>5442 7460 2404 4469</v>
      </c>
      <c r="F62" t="str">
        <f>_xlfn.XLOOKUP(TBL_USUARIOS[[#This Row],[ID_MASSA]],tbl_de_massas[id_massa],tbl_de_massas[cartao_fisico_cvv],"--",0,1)</f>
        <v>754</v>
      </c>
      <c r="G62" t="str">
        <f>_xlfn.XLOOKUP(TBL_USUARIOS[[#This Row],[ID_MASSA]],tbl_de_massas[id_massa],tbl_de_massas[cartao_virtual_numero],"--",0,1)</f>
        <v/>
      </c>
      <c r="H62">
        <f>_xlfn.XLOOKUP(TBL_USUARIOS[[#This Row],[ID_MASSA]],tbl_de_massas[id_massa],tbl_de_massas[cartao_virtual_cvv],"--",0,1)</f>
        <v>0</v>
      </c>
    </row>
    <row r="63" spans="1:8" x14ac:dyDescent="0.25">
      <c r="A63" s="2" t="s">
        <v>2307</v>
      </c>
      <c r="B63" s="14" t="str">
        <f>_xlfn.XLOOKUP(TBL_USUARIOS[[#This Row],[ID_MASSA]],tbl_de_massas[id_massa],tbl_de_massas[cpf],"--",0,1)</f>
        <v>27646660477</v>
      </c>
      <c r="C63" t="s">
        <v>12</v>
      </c>
      <c r="D63" t="str">
        <f>_xlfn.XLOOKUP(TBL_USUARIOS[[#This Row],[ID_MASSA]],tbl_de_massas[id_massa],tbl_de_massas[nome_completo],"--",0,1)</f>
        <v>Brunehilde Gaillard</v>
      </c>
      <c r="E63" t="str">
        <f>_xlfn.XLOOKUP(TBL_USUARIOS[[#This Row],[ID_MASSA]],tbl_de_massas[id_massa],tbl_de_massas[cartao_fisico_numero],"--",0,1)</f>
        <v>5442 7460 2776 5268</v>
      </c>
      <c r="F63" t="str">
        <f>_xlfn.XLOOKUP(TBL_USUARIOS[[#This Row],[ID_MASSA]],tbl_de_massas[id_massa],tbl_de_massas[cartao_fisico_cvv],"--",0,1)</f>
        <v>477</v>
      </c>
      <c r="G63" t="str">
        <f>_xlfn.XLOOKUP(TBL_USUARIOS[[#This Row],[ID_MASSA]],tbl_de_massas[id_massa],tbl_de_massas[cartao_virtual_numero],"--",0,1)</f>
        <v/>
      </c>
      <c r="H63">
        <f>_xlfn.XLOOKUP(TBL_USUARIOS[[#This Row],[ID_MASSA]],tbl_de_massas[id_massa],tbl_de_massas[cartao_virtual_cvv],"--",0,1)</f>
        <v>0</v>
      </c>
    </row>
    <row r="64" spans="1:8" x14ac:dyDescent="0.25">
      <c r="A64" s="2" t="s">
        <v>2308</v>
      </c>
      <c r="B64" s="14" t="str">
        <f>_xlfn.XLOOKUP(TBL_USUARIOS[[#This Row],[ID_MASSA]],tbl_de_massas[id_massa],tbl_de_massas[cpf],"--",0,1)</f>
        <v>76671725950</v>
      </c>
      <c r="C64" t="s">
        <v>12</v>
      </c>
      <c r="D64" t="str">
        <f>_xlfn.XLOOKUP(TBL_USUARIOS[[#This Row],[ID_MASSA]],tbl_de_massas[id_massa],tbl_de_massas[nome_completo],"--",0,1)</f>
        <v>Raymonde Bernard</v>
      </c>
      <c r="E64" t="str">
        <f>_xlfn.XLOOKUP(TBL_USUARIOS[[#This Row],[ID_MASSA]],tbl_de_massas[id_massa],tbl_de_massas[cartao_fisico_numero],"--",0,1)</f>
        <v>5442 7460 6274 1188</v>
      </c>
      <c r="F64" t="str">
        <f>_xlfn.XLOOKUP(TBL_USUARIOS[[#This Row],[ID_MASSA]],tbl_de_massas[id_massa],tbl_de_massas[cartao_fisico_cvv],"--",0,1)</f>
        <v>950</v>
      </c>
      <c r="G64" t="str">
        <f>_xlfn.XLOOKUP(TBL_USUARIOS[[#This Row],[ID_MASSA]],tbl_de_massas[id_massa],tbl_de_massas[cartao_virtual_numero],"--",0,1)</f>
        <v/>
      </c>
      <c r="H64">
        <f>_xlfn.XLOOKUP(TBL_USUARIOS[[#This Row],[ID_MASSA]],tbl_de_massas[id_massa],tbl_de_massas[cartao_virtual_cvv],"--",0,1)</f>
        <v>0</v>
      </c>
    </row>
    <row r="65" spans="1:8" x14ac:dyDescent="0.25">
      <c r="A65" s="2" t="s">
        <v>2308</v>
      </c>
      <c r="B65" s="14" t="str">
        <f>_xlfn.XLOOKUP(TBL_USUARIOS[[#This Row],[ID_MASSA]],tbl_de_massas[id_massa],tbl_de_massas[cpf],"--",0,1)</f>
        <v>76671725950</v>
      </c>
      <c r="C65" t="s">
        <v>12</v>
      </c>
      <c r="D65" t="str">
        <f>_xlfn.XLOOKUP(TBL_USUARIOS[[#This Row],[ID_MASSA]],tbl_de_massas[id_massa],tbl_de_massas[nome_completo],"--",0,1)</f>
        <v>Raymonde Bernard</v>
      </c>
      <c r="E65" t="str">
        <f>_xlfn.XLOOKUP(TBL_USUARIOS[[#This Row],[ID_MASSA]],tbl_de_massas[id_massa],tbl_de_massas[cartao_fisico_numero],"--",0,1)</f>
        <v>5442 7460 6274 1188</v>
      </c>
      <c r="F65" t="str">
        <f>_xlfn.XLOOKUP(TBL_USUARIOS[[#This Row],[ID_MASSA]],tbl_de_massas[id_massa],tbl_de_massas[cartao_fisico_cvv],"--",0,1)</f>
        <v>950</v>
      </c>
      <c r="G65" t="str">
        <f>_xlfn.XLOOKUP(TBL_USUARIOS[[#This Row],[ID_MASSA]],tbl_de_massas[id_massa],tbl_de_massas[cartao_virtual_numero],"--",0,1)</f>
        <v/>
      </c>
      <c r="H65">
        <f>_xlfn.XLOOKUP(TBL_USUARIOS[[#This Row],[ID_MASSA]],tbl_de_massas[id_massa],tbl_de_massas[cartao_virtual_cvv],"--",0,1)</f>
        <v>0</v>
      </c>
    </row>
    <row r="66" spans="1:8" x14ac:dyDescent="0.25">
      <c r="A66" s="2" t="s">
        <v>2309</v>
      </c>
      <c r="B66" s="14" t="str">
        <f>_xlfn.XLOOKUP(TBL_USUARIOS[[#This Row],[ID_MASSA]],tbl_de_massas[id_massa],tbl_de_massas[cpf],"--",0,1)</f>
        <v>84823321987</v>
      </c>
      <c r="C66" t="s">
        <v>12</v>
      </c>
      <c r="D66" t="str">
        <f>_xlfn.XLOOKUP(TBL_USUARIOS[[#This Row],[ID_MASSA]],tbl_de_massas[id_massa],tbl_de_massas[nome_completo],"--",0,1)</f>
        <v>Marcel Breton</v>
      </c>
      <c r="E66" t="str">
        <f>_xlfn.XLOOKUP(TBL_USUARIOS[[#This Row],[ID_MASSA]],tbl_de_massas[id_massa],tbl_de_massas[cartao_fisico_numero],"--",0,1)</f>
        <v>5442 7460 1766 7750</v>
      </c>
      <c r="F66" t="str">
        <f>_xlfn.XLOOKUP(TBL_USUARIOS[[#This Row],[ID_MASSA]],tbl_de_massas[id_massa],tbl_de_massas[cartao_fisico_cvv],"--",0,1)</f>
        <v>987</v>
      </c>
      <c r="G66" t="str">
        <f>_xlfn.XLOOKUP(TBL_USUARIOS[[#This Row],[ID_MASSA]],tbl_de_massas[id_massa],tbl_de_massas[cartao_virtual_numero],"--",0,1)</f>
        <v/>
      </c>
      <c r="H66">
        <f>_xlfn.XLOOKUP(TBL_USUARIOS[[#This Row],[ID_MASSA]],tbl_de_massas[id_massa],tbl_de_massas[cartao_virtual_cvv],"--",0,1)</f>
        <v>0</v>
      </c>
    </row>
    <row r="67" spans="1:8" x14ac:dyDescent="0.25">
      <c r="A67" s="2" t="s">
        <v>2309</v>
      </c>
      <c r="B67" s="14" t="str">
        <f>_xlfn.XLOOKUP(TBL_USUARIOS[[#This Row],[ID_MASSA]],tbl_de_massas[id_massa],tbl_de_massas[cpf],"--",0,1)</f>
        <v>84823321987</v>
      </c>
      <c r="C67" t="s">
        <v>12</v>
      </c>
      <c r="D67" t="str">
        <f>_xlfn.XLOOKUP(TBL_USUARIOS[[#This Row],[ID_MASSA]],tbl_de_massas[id_massa],tbl_de_massas[nome_completo],"--",0,1)</f>
        <v>Marcel Breton</v>
      </c>
      <c r="E67" t="str">
        <f>_xlfn.XLOOKUP(TBL_USUARIOS[[#This Row],[ID_MASSA]],tbl_de_massas[id_massa],tbl_de_massas[cartao_fisico_numero],"--",0,1)</f>
        <v>5442 7460 1766 7750</v>
      </c>
      <c r="F67" t="str">
        <f>_xlfn.XLOOKUP(TBL_USUARIOS[[#This Row],[ID_MASSA]],tbl_de_massas[id_massa],tbl_de_massas[cartao_fisico_cvv],"--",0,1)</f>
        <v>987</v>
      </c>
      <c r="G67" t="str">
        <f>_xlfn.XLOOKUP(TBL_USUARIOS[[#This Row],[ID_MASSA]],tbl_de_massas[id_massa],tbl_de_massas[cartao_virtual_numero],"--",0,1)</f>
        <v/>
      </c>
      <c r="H67">
        <f>_xlfn.XLOOKUP(TBL_USUARIOS[[#This Row],[ID_MASSA]],tbl_de_massas[id_massa],tbl_de_massas[cartao_virtual_cvv],"--",0,1)</f>
        <v>0</v>
      </c>
    </row>
    <row r="68" spans="1:8" x14ac:dyDescent="0.25">
      <c r="A68" s="2" t="s">
        <v>2310</v>
      </c>
      <c r="B68" s="14" t="str">
        <f>_xlfn.XLOOKUP(TBL_USUARIOS[[#This Row],[ID_MASSA]],tbl_de_massas[id_massa],tbl_de_massas[cpf],"--",0,1)</f>
        <v>26986473966</v>
      </c>
      <c r="C68" t="s">
        <v>12</v>
      </c>
      <c r="D68" t="str">
        <f>_xlfn.XLOOKUP(TBL_USUARIOS[[#This Row],[ID_MASSA]],tbl_de_massas[id_massa],tbl_de_massas[nome_completo],"--",0,1)</f>
        <v>Jacinthe Vidal</v>
      </c>
      <c r="E68" t="str">
        <f>_xlfn.XLOOKUP(TBL_USUARIOS[[#This Row],[ID_MASSA]],tbl_de_massas[id_massa],tbl_de_massas[cartao_fisico_numero],"--",0,1)</f>
        <v>5442 7460 8748 9625</v>
      </c>
      <c r="F68" t="str">
        <f>_xlfn.XLOOKUP(TBL_USUARIOS[[#This Row],[ID_MASSA]],tbl_de_massas[id_massa],tbl_de_massas[cartao_fisico_cvv],"--",0,1)</f>
        <v>966</v>
      </c>
      <c r="G68" t="str">
        <f>_xlfn.XLOOKUP(TBL_USUARIOS[[#This Row],[ID_MASSA]],tbl_de_massas[id_massa],tbl_de_massas[cartao_virtual_numero],"--",0,1)</f>
        <v/>
      </c>
      <c r="H68">
        <f>_xlfn.XLOOKUP(TBL_USUARIOS[[#This Row],[ID_MASSA]],tbl_de_massas[id_massa],tbl_de_massas[cartao_virtual_cvv],"--",0,1)</f>
        <v>0</v>
      </c>
    </row>
    <row r="69" spans="1:8" x14ac:dyDescent="0.25">
      <c r="A69" s="2" t="s">
        <v>2310</v>
      </c>
      <c r="B69" s="14" t="str">
        <f>_xlfn.XLOOKUP(TBL_USUARIOS[[#This Row],[ID_MASSA]],tbl_de_massas[id_massa],tbl_de_massas[cpf],"--",0,1)</f>
        <v>26986473966</v>
      </c>
      <c r="C69" t="s">
        <v>12</v>
      </c>
      <c r="D69" t="str">
        <f>_xlfn.XLOOKUP(TBL_USUARIOS[[#This Row],[ID_MASSA]],tbl_de_massas[id_massa],tbl_de_massas[nome_completo],"--",0,1)</f>
        <v>Jacinthe Vidal</v>
      </c>
      <c r="E69" t="str">
        <f>_xlfn.XLOOKUP(TBL_USUARIOS[[#This Row],[ID_MASSA]],tbl_de_massas[id_massa],tbl_de_massas[cartao_fisico_numero],"--",0,1)</f>
        <v>5442 7460 8748 9625</v>
      </c>
      <c r="F69" t="str">
        <f>_xlfn.XLOOKUP(TBL_USUARIOS[[#This Row],[ID_MASSA]],tbl_de_massas[id_massa],tbl_de_massas[cartao_fisico_cvv],"--",0,1)</f>
        <v>966</v>
      </c>
      <c r="G69" t="str">
        <f>_xlfn.XLOOKUP(TBL_USUARIOS[[#This Row],[ID_MASSA]],tbl_de_massas[id_massa],tbl_de_massas[cartao_virtual_numero],"--",0,1)</f>
        <v/>
      </c>
      <c r="H69">
        <f>_xlfn.XLOOKUP(TBL_USUARIOS[[#This Row],[ID_MASSA]],tbl_de_massas[id_massa],tbl_de_massas[cartao_virtual_cvv],"--",0,1)</f>
        <v>0</v>
      </c>
    </row>
    <row r="70" spans="1:8" x14ac:dyDescent="0.25">
      <c r="A70" s="2" t="s">
        <v>2311</v>
      </c>
      <c r="B70" s="14" t="str">
        <f>_xlfn.XLOOKUP(TBL_USUARIOS[[#This Row],[ID_MASSA]],tbl_de_massas[id_massa],tbl_de_massas[cpf],"--",0,1)</f>
        <v>48318883543</v>
      </c>
      <c r="C70" t="s">
        <v>12</v>
      </c>
      <c r="D70" t="str">
        <f>_xlfn.XLOOKUP(TBL_USUARIOS[[#This Row],[ID_MASSA]],tbl_de_massas[id_massa],tbl_de_massas[nome_completo],"--",0,1)</f>
        <v>Claude Garcia</v>
      </c>
      <c r="E70" t="str">
        <f>_xlfn.XLOOKUP(TBL_USUARIOS[[#This Row],[ID_MASSA]],tbl_de_massas[id_massa],tbl_de_massas[cartao_fisico_numero],"--",0,1)</f>
        <v>5442 7460 1607 2003</v>
      </c>
      <c r="F70" t="str">
        <f>_xlfn.XLOOKUP(TBL_USUARIOS[[#This Row],[ID_MASSA]],tbl_de_massas[id_massa],tbl_de_massas[cartao_fisico_cvv],"--",0,1)</f>
        <v>543</v>
      </c>
      <c r="G70" t="str">
        <f>_xlfn.XLOOKUP(TBL_USUARIOS[[#This Row],[ID_MASSA]],tbl_de_massas[id_massa],tbl_de_massas[cartao_virtual_numero],"--",0,1)</f>
        <v/>
      </c>
      <c r="H70">
        <f>_xlfn.XLOOKUP(TBL_USUARIOS[[#This Row],[ID_MASSA]],tbl_de_massas[id_massa],tbl_de_massas[cartao_virtual_cvv],"--",0,1)</f>
        <v>0</v>
      </c>
    </row>
    <row r="71" spans="1:8" x14ac:dyDescent="0.25">
      <c r="A71" s="2" t="s">
        <v>2311</v>
      </c>
      <c r="B71" s="14" t="str">
        <f>_xlfn.XLOOKUP(TBL_USUARIOS[[#This Row],[ID_MASSA]],tbl_de_massas[id_massa],tbl_de_massas[cpf],"--",0,1)</f>
        <v>48318883543</v>
      </c>
      <c r="C71" t="s">
        <v>12</v>
      </c>
      <c r="D71" t="str">
        <f>_xlfn.XLOOKUP(TBL_USUARIOS[[#This Row],[ID_MASSA]],tbl_de_massas[id_massa],tbl_de_massas[nome_completo],"--",0,1)</f>
        <v>Claude Garcia</v>
      </c>
      <c r="E71" t="str">
        <f>_xlfn.XLOOKUP(TBL_USUARIOS[[#This Row],[ID_MASSA]],tbl_de_massas[id_massa],tbl_de_massas[cartao_fisico_numero],"--",0,1)</f>
        <v>5442 7460 1607 2003</v>
      </c>
      <c r="F71" t="str">
        <f>_xlfn.XLOOKUP(TBL_USUARIOS[[#This Row],[ID_MASSA]],tbl_de_massas[id_massa],tbl_de_massas[cartao_fisico_cvv],"--",0,1)</f>
        <v>543</v>
      </c>
      <c r="G71" t="str">
        <f>_xlfn.XLOOKUP(TBL_USUARIOS[[#This Row],[ID_MASSA]],tbl_de_massas[id_massa],tbl_de_massas[cartao_virtual_numero],"--",0,1)</f>
        <v/>
      </c>
      <c r="H71">
        <f>_xlfn.XLOOKUP(TBL_USUARIOS[[#This Row],[ID_MASSA]],tbl_de_massas[id_massa],tbl_de_massas[cartao_virtual_cvv],"--",0,1)</f>
        <v>0</v>
      </c>
    </row>
    <row r="72" spans="1:8" x14ac:dyDescent="0.25">
      <c r="A72" s="2" t="s">
        <v>2312</v>
      </c>
      <c r="B72" s="14" t="str">
        <f>_xlfn.XLOOKUP(TBL_USUARIOS[[#This Row],[ID_MASSA]],tbl_de_massas[id_massa],tbl_de_massas[cpf],"--",0,1)</f>
        <v>37810513150</v>
      </c>
      <c r="C72" t="s">
        <v>12</v>
      </c>
      <c r="D72" t="str">
        <f>_xlfn.XLOOKUP(TBL_USUARIOS[[#This Row],[ID_MASSA]],tbl_de_massas[id_massa],tbl_de_massas[nome_completo],"--",0,1)</f>
        <v>Florie Fontaine</v>
      </c>
      <c r="E72" t="str">
        <f>_xlfn.XLOOKUP(TBL_USUARIOS[[#This Row],[ID_MASSA]],tbl_de_massas[id_massa],tbl_de_massas[cartao_fisico_numero],"--",0,1)</f>
        <v>5442 7460 7963 5511</v>
      </c>
      <c r="F72" t="str">
        <f>_xlfn.XLOOKUP(TBL_USUARIOS[[#This Row],[ID_MASSA]],tbl_de_massas[id_massa],tbl_de_massas[cartao_fisico_cvv],"--",0,1)</f>
        <v>150</v>
      </c>
      <c r="G72" t="str">
        <f>_xlfn.XLOOKUP(TBL_USUARIOS[[#This Row],[ID_MASSA]],tbl_de_massas[id_massa],tbl_de_massas[cartao_virtual_numero],"--",0,1)</f>
        <v/>
      </c>
      <c r="H72">
        <f>_xlfn.XLOOKUP(TBL_USUARIOS[[#This Row],[ID_MASSA]],tbl_de_massas[id_massa],tbl_de_massas[cartao_virtual_cvv],"--",0,1)</f>
        <v>0</v>
      </c>
    </row>
    <row r="73" spans="1:8" x14ac:dyDescent="0.25">
      <c r="A73" s="2" t="s">
        <v>2312</v>
      </c>
      <c r="B73" s="14" t="str">
        <f>_xlfn.XLOOKUP(TBL_USUARIOS[[#This Row],[ID_MASSA]],tbl_de_massas[id_massa],tbl_de_massas[cpf],"--",0,1)</f>
        <v>37810513150</v>
      </c>
      <c r="C73" t="s">
        <v>12</v>
      </c>
      <c r="D73" t="str">
        <f>_xlfn.XLOOKUP(TBL_USUARIOS[[#This Row],[ID_MASSA]],tbl_de_massas[id_massa],tbl_de_massas[nome_completo],"--",0,1)</f>
        <v>Florie Fontaine</v>
      </c>
      <c r="E73" t="str">
        <f>_xlfn.XLOOKUP(TBL_USUARIOS[[#This Row],[ID_MASSA]],tbl_de_massas[id_massa],tbl_de_massas[cartao_fisico_numero],"--",0,1)</f>
        <v>5442 7460 7963 5511</v>
      </c>
      <c r="F73" t="str">
        <f>_xlfn.XLOOKUP(TBL_USUARIOS[[#This Row],[ID_MASSA]],tbl_de_massas[id_massa],tbl_de_massas[cartao_fisico_cvv],"--",0,1)</f>
        <v>150</v>
      </c>
      <c r="G73" t="str">
        <f>_xlfn.XLOOKUP(TBL_USUARIOS[[#This Row],[ID_MASSA]],tbl_de_massas[id_massa],tbl_de_massas[cartao_virtual_numero],"--",0,1)</f>
        <v/>
      </c>
      <c r="H73">
        <f>_xlfn.XLOOKUP(TBL_USUARIOS[[#This Row],[ID_MASSA]],tbl_de_massas[id_massa],tbl_de_massas[cartao_virtual_cvv],"--",0,1)</f>
        <v>0</v>
      </c>
    </row>
    <row r="74" spans="1:8" x14ac:dyDescent="0.25">
      <c r="A74" s="2" t="s">
        <v>2313</v>
      </c>
      <c r="B74" s="14" t="str">
        <f>_xlfn.XLOOKUP(TBL_USUARIOS[[#This Row],[ID_MASSA]],tbl_de_massas[id_massa],tbl_de_massas[cpf],"--",0,1)</f>
        <v>43838315910</v>
      </c>
      <c r="C74" t="s">
        <v>12</v>
      </c>
      <c r="D74" t="str">
        <f>_xlfn.XLOOKUP(TBL_USUARIOS[[#This Row],[ID_MASSA]],tbl_de_massas[id_massa],tbl_de_massas[nome_completo],"--",0,1)</f>
        <v>Christian Simon</v>
      </c>
      <c r="E74" t="str">
        <f>_xlfn.XLOOKUP(TBL_USUARIOS[[#This Row],[ID_MASSA]],tbl_de_massas[id_massa],tbl_de_massas[cartao_fisico_numero],"--",0,1)</f>
        <v>5442 7460 7036 5189</v>
      </c>
      <c r="F74" t="str">
        <f>_xlfn.XLOOKUP(TBL_USUARIOS[[#This Row],[ID_MASSA]],tbl_de_massas[id_massa],tbl_de_massas[cartao_fisico_cvv],"--",0,1)</f>
        <v>910</v>
      </c>
      <c r="G74" t="str">
        <f>_xlfn.XLOOKUP(TBL_USUARIOS[[#This Row],[ID_MASSA]],tbl_de_massas[id_massa],tbl_de_massas[cartao_virtual_numero],"--",0,1)</f>
        <v/>
      </c>
      <c r="H74">
        <f>_xlfn.XLOOKUP(TBL_USUARIOS[[#This Row],[ID_MASSA]],tbl_de_massas[id_massa],tbl_de_massas[cartao_virtual_cvv],"--",0,1)</f>
        <v>0</v>
      </c>
    </row>
    <row r="75" spans="1:8" x14ac:dyDescent="0.25">
      <c r="A75" s="2" t="s">
        <v>2313</v>
      </c>
      <c r="B75" s="14" t="str">
        <f>_xlfn.XLOOKUP(TBL_USUARIOS[[#This Row],[ID_MASSA]],tbl_de_massas[id_massa],tbl_de_massas[cpf],"--",0,1)</f>
        <v>43838315910</v>
      </c>
      <c r="C75" t="s">
        <v>12</v>
      </c>
      <c r="D75" t="str">
        <f>_xlfn.XLOOKUP(TBL_USUARIOS[[#This Row],[ID_MASSA]],tbl_de_massas[id_massa],tbl_de_massas[nome_completo],"--",0,1)</f>
        <v>Christian Simon</v>
      </c>
      <c r="E75" t="str">
        <f>_xlfn.XLOOKUP(TBL_USUARIOS[[#This Row],[ID_MASSA]],tbl_de_massas[id_massa],tbl_de_massas[cartao_fisico_numero],"--",0,1)</f>
        <v>5442 7460 7036 5189</v>
      </c>
      <c r="F75" t="str">
        <f>_xlfn.XLOOKUP(TBL_USUARIOS[[#This Row],[ID_MASSA]],tbl_de_massas[id_massa],tbl_de_massas[cartao_fisico_cvv],"--",0,1)</f>
        <v>910</v>
      </c>
      <c r="G75" t="str">
        <f>_xlfn.XLOOKUP(TBL_USUARIOS[[#This Row],[ID_MASSA]],tbl_de_massas[id_massa],tbl_de_massas[cartao_virtual_numero],"--",0,1)</f>
        <v/>
      </c>
      <c r="H75">
        <f>_xlfn.XLOOKUP(TBL_USUARIOS[[#This Row],[ID_MASSA]],tbl_de_massas[id_massa],tbl_de_massas[cartao_virtual_cvv],"--",0,1)</f>
        <v>0</v>
      </c>
    </row>
    <row r="76" spans="1:8" x14ac:dyDescent="0.25">
      <c r="A76" s="2" t="s">
        <v>2314</v>
      </c>
      <c r="B76" s="14" t="str">
        <f>_xlfn.XLOOKUP(TBL_USUARIOS[[#This Row],[ID_MASSA]],tbl_de_massas[id_massa],tbl_de_massas[cpf],"--",0,1)</f>
        <v>77355277308</v>
      </c>
      <c r="C76" t="s">
        <v>12</v>
      </c>
      <c r="D76" t="str">
        <f>_xlfn.XLOOKUP(TBL_USUARIOS[[#This Row],[ID_MASSA]],tbl_de_massas[id_massa],tbl_de_massas[nome_completo],"--",0,1)</f>
        <v>Christian Bertrand</v>
      </c>
      <c r="E76" t="str">
        <f>_xlfn.XLOOKUP(TBL_USUARIOS[[#This Row],[ID_MASSA]],tbl_de_massas[id_massa],tbl_de_massas[cartao_fisico_numero],"--",0,1)</f>
        <v>5442 7460 3070 4884</v>
      </c>
      <c r="F76" t="str">
        <f>_xlfn.XLOOKUP(TBL_USUARIOS[[#This Row],[ID_MASSA]],tbl_de_massas[id_massa],tbl_de_massas[cartao_fisico_cvv],"--",0,1)</f>
        <v>308</v>
      </c>
      <c r="G76" t="str">
        <f>_xlfn.XLOOKUP(TBL_USUARIOS[[#This Row],[ID_MASSA]],tbl_de_massas[id_massa],tbl_de_massas[cartao_virtual_numero],"--",0,1)</f>
        <v/>
      </c>
      <c r="H76">
        <f>_xlfn.XLOOKUP(TBL_USUARIOS[[#This Row],[ID_MASSA]],tbl_de_massas[id_massa],tbl_de_massas[cartao_virtual_cvv],"--",0,1)</f>
        <v>0</v>
      </c>
    </row>
    <row r="77" spans="1:8" x14ac:dyDescent="0.25">
      <c r="A77" s="2" t="s">
        <v>29</v>
      </c>
      <c r="B77" s="14" t="str">
        <f>_xlfn.XLOOKUP(TBL_USUARIOS[[#This Row],[ID_MASSA]],tbl_de_massas[id_massa],tbl_de_massas[cpf],"--",0,1)</f>
        <v>27234768980</v>
      </c>
      <c r="C77" t="s">
        <v>12</v>
      </c>
      <c r="D77" t="str">
        <f>_xlfn.XLOOKUP(TBL_USUARIOS[[#This Row],[ID_MASSA]],tbl_de_massas[id_massa],tbl_de_massas[nome_completo],"--",0,1)</f>
        <v>Acanthe Vidal</v>
      </c>
      <c r="E77" t="str">
        <f>_xlfn.XLOOKUP(TBL_USUARIOS[[#This Row],[ID_MASSA]],tbl_de_massas[id_massa],tbl_de_massas[cartao_fisico_numero],"--",0,1)</f>
        <v>5442 7460 4352 2381</v>
      </c>
      <c r="F77" t="str">
        <f>_xlfn.XLOOKUP(TBL_USUARIOS[[#This Row],[ID_MASSA]],tbl_de_massas[id_massa],tbl_de_massas[cartao_fisico_cvv],"--",0,1)</f>
        <v>980</v>
      </c>
      <c r="G77" t="str">
        <f>_xlfn.XLOOKUP(TBL_USUARIOS[[#This Row],[ID_MASSA]],tbl_de_massas[id_massa],tbl_de_massas[cartao_virtual_numero],"--",0,1)</f>
        <v/>
      </c>
      <c r="H77">
        <f>_xlfn.XLOOKUP(TBL_USUARIOS[[#This Row],[ID_MASSA]],tbl_de_massas[id_massa],tbl_de_massas[cartao_virtual_cvv],"--",0,1)</f>
        <v>0</v>
      </c>
    </row>
    <row r="78" spans="1:8" x14ac:dyDescent="0.25">
      <c r="A78" s="2" t="s">
        <v>2315</v>
      </c>
      <c r="B78" s="14" t="str">
        <f>_xlfn.XLOOKUP(TBL_USUARIOS[[#This Row],[ID_MASSA]],tbl_de_massas[id_massa],tbl_de_massas[cpf],"--",0,1)</f>
        <v>61369613180</v>
      </c>
      <c r="C78" t="s">
        <v>12</v>
      </c>
      <c r="D78" t="str">
        <f>_xlfn.XLOOKUP(TBL_USUARIOS[[#This Row],[ID_MASSA]],tbl_de_massas[id_massa],tbl_de_massas[nome_completo],"--",0,1)</f>
        <v>Paulette Jean</v>
      </c>
      <c r="E78" t="str">
        <f>_xlfn.XLOOKUP(TBL_USUARIOS[[#This Row],[ID_MASSA]],tbl_de_massas[id_massa],tbl_de_massas[cartao_fisico_numero],"--",0,1)</f>
        <v>5442 7460 5165 4834</v>
      </c>
      <c r="F78" t="str">
        <f>_xlfn.XLOOKUP(TBL_USUARIOS[[#This Row],[ID_MASSA]],tbl_de_massas[id_massa],tbl_de_massas[cartao_fisico_cvv],"--",0,1)</f>
        <v>180</v>
      </c>
      <c r="G78" t="str">
        <f>_xlfn.XLOOKUP(TBL_USUARIOS[[#This Row],[ID_MASSA]],tbl_de_massas[id_massa],tbl_de_massas[cartao_virtual_numero],"--",0,1)</f>
        <v/>
      </c>
      <c r="H78">
        <f>_xlfn.XLOOKUP(TBL_USUARIOS[[#This Row],[ID_MASSA]],tbl_de_massas[id_massa],tbl_de_massas[cartao_virtual_cvv],"--",0,1)</f>
        <v>0</v>
      </c>
    </row>
    <row r="79" spans="1:8" x14ac:dyDescent="0.25">
      <c r="A79" s="2" t="s">
        <v>2316</v>
      </c>
      <c r="B79" s="14" t="str">
        <f>_xlfn.XLOOKUP(TBL_USUARIOS[[#This Row],[ID_MASSA]],tbl_de_massas[id_massa],tbl_de_massas[cpf],"--",0,1)</f>
        <v>28832869497</v>
      </c>
      <c r="C79" t="s">
        <v>12</v>
      </c>
      <c r="D79" t="str">
        <f>_xlfn.XLOOKUP(TBL_USUARIOS[[#This Row],[ID_MASSA]],tbl_de_massas[id_massa],tbl_de_massas[nome_completo],"--",0,1)</f>
        <v>Philomène Fabre</v>
      </c>
      <c r="E79" t="str">
        <f>_xlfn.XLOOKUP(TBL_USUARIOS[[#This Row],[ID_MASSA]],tbl_de_massas[id_massa],tbl_de_massas[cartao_fisico_numero],"--",0,1)</f>
        <v>5442 7460 8592 9077</v>
      </c>
      <c r="F79" t="str">
        <f>_xlfn.XLOOKUP(TBL_USUARIOS[[#This Row],[ID_MASSA]],tbl_de_massas[id_massa],tbl_de_massas[cartao_fisico_cvv],"--",0,1)</f>
        <v>497</v>
      </c>
      <c r="G79" t="str">
        <f>_xlfn.XLOOKUP(TBL_USUARIOS[[#This Row],[ID_MASSA]],tbl_de_massas[id_massa],tbl_de_massas[cartao_virtual_numero],"--",0,1)</f>
        <v/>
      </c>
      <c r="H79">
        <f>_xlfn.XLOOKUP(TBL_USUARIOS[[#This Row],[ID_MASSA]],tbl_de_massas[id_massa],tbl_de_massas[cartao_virtual_cvv],"--",0,1)</f>
        <v>0</v>
      </c>
    </row>
    <row r="80" spans="1:8" x14ac:dyDescent="0.25">
      <c r="A80" s="2" t="s">
        <v>2317</v>
      </c>
      <c r="B80" s="14" t="str">
        <f>_xlfn.XLOOKUP(TBL_USUARIOS[[#This Row],[ID_MASSA]],tbl_de_massas[id_massa],tbl_de_massas[cpf],"--",0,1)</f>
        <v>82499572612</v>
      </c>
      <c r="C80" t="s">
        <v>12</v>
      </c>
      <c r="D80" t="str">
        <f>_xlfn.XLOOKUP(TBL_USUARIOS[[#This Row],[ID_MASSA]],tbl_de_massas[id_massa],tbl_de_massas[nome_completo],"--",0,1)</f>
        <v>Camille Martin</v>
      </c>
      <c r="E80" t="str">
        <f>_xlfn.XLOOKUP(TBL_USUARIOS[[#This Row],[ID_MASSA]],tbl_de_massas[id_massa],tbl_de_massas[cartao_fisico_numero],"--",0,1)</f>
        <v>5442 7460 4229 7284</v>
      </c>
      <c r="F80" t="str">
        <f>_xlfn.XLOOKUP(TBL_USUARIOS[[#This Row],[ID_MASSA]],tbl_de_massas[id_massa],tbl_de_massas[cartao_fisico_cvv],"--",0,1)</f>
        <v>612</v>
      </c>
      <c r="G80" t="str">
        <f>_xlfn.XLOOKUP(TBL_USUARIOS[[#This Row],[ID_MASSA]],tbl_de_massas[id_massa],tbl_de_massas[cartao_virtual_numero],"--",0,1)</f>
        <v/>
      </c>
      <c r="H80">
        <f>_xlfn.XLOOKUP(TBL_USUARIOS[[#This Row],[ID_MASSA]],tbl_de_massas[id_massa],tbl_de_massas[cartao_virtual_cvv],"--",0,1)</f>
        <v>0</v>
      </c>
    </row>
    <row r="81" spans="1:8" x14ac:dyDescent="0.25">
      <c r="A81" s="2" t="s">
        <v>2318</v>
      </c>
      <c r="B81" s="14" t="str">
        <f>_xlfn.XLOOKUP(TBL_USUARIOS[[#This Row],[ID_MASSA]],tbl_de_massas[id_massa],tbl_de_massas[cpf],"--",0,1)</f>
        <v>75775457404</v>
      </c>
      <c r="C81" t="s">
        <v>12</v>
      </c>
      <c r="D81" t="str">
        <f>_xlfn.XLOOKUP(TBL_USUARIOS[[#This Row],[ID_MASSA]],tbl_de_massas[id_massa],tbl_de_massas[nome_completo],"--",0,1)</f>
        <v>Isabela Rocha Carvalho</v>
      </c>
      <c r="E81" t="str">
        <f>_xlfn.XLOOKUP(TBL_USUARIOS[[#This Row],[ID_MASSA]],tbl_de_massas[id_massa],tbl_de_massas[cartao_fisico_numero],"--",0,1)</f>
        <v>5442 7460 5652 9579</v>
      </c>
      <c r="F81" t="str">
        <f>_xlfn.XLOOKUP(TBL_USUARIOS[[#This Row],[ID_MASSA]],tbl_de_massas[id_massa],tbl_de_massas[cartao_fisico_cvv],"--",0,1)</f>
        <v>404</v>
      </c>
      <c r="G81" t="str">
        <f>_xlfn.XLOOKUP(TBL_USUARIOS[[#This Row],[ID_MASSA]],tbl_de_massas[id_massa],tbl_de_massas[cartao_virtual_numero],"--",0,1)</f>
        <v/>
      </c>
      <c r="H81">
        <f>_xlfn.XLOOKUP(TBL_USUARIOS[[#This Row],[ID_MASSA]],tbl_de_massas[id_massa],tbl_de_massas[cartao_virtual_cvv],"--",0,1)</f>
        <v>0</v>
      </c>
    </row>
    <row r="82" spans="1:8" x14ac:dyDescent="0.25">
      <c r="A82" s="2" t="s">
        <v>2319</v>
      </c>
      <c r="B82" s="14" t="str">
        <f>_xlfn.XLOOKUP(TBL_USUARIOS[[#This Row],[ID_MASSA]],tbl_de_massas[id_massa],tbl_de_massas[cpf],"--",0,1)</f>
        <v>88877766655</v>
      </c>
      <c r="C82" t="s">
        <v>12</v>
      </c>
      <c r="D82" t="str">
        <f>_xlfn.XLOOKUP(TBL_USUARIOS[[#This Row],[ID_MASSA]],tbl_de_massas[id_massa],tbl_de_massas[nome_completo],"--",0,1)</f>
        <v>Massa Teste DB Real</v>
      </c>
      <c r="E82" t="str">
        <f>_xlfn.XLOOKUP(TBL_USUARIOS[[#This Row],[ID_MASSA]],tbl_de_massas[id_massa],tbl_de_massas[cartao_fisico_numero],"--",0,1)</f>
        <v>5442 7460 5720 1203</v>
      </c>
      <c r="F82" t="str">
        <f>_xlfn.XLOOKUP(TBL_USUARIOS[[#This Row],[ID_MASSA]],tbl_de_massas[id_massa],tbl_de_massas[cartao_fisico_cvv],"--",0,1)</f>
        <v>655</v>
      </c>
      <c r="G82" t="str">
        <f>_xlfn.XLOOKUP(TBL_USUARIOS[[#This Row],[ID_MASSA]],tbl_de_massas[id_massa],tbl_de_massas[cartao_virtual_numero],"--",0,1)</f>
        <v/>
      </c>
      <c r="H82">
        <f>_xlfn.XLOOKUP(TBL_USUARIOS[[#This Row],[ID_MASSA]],tbl_de_massas[id_massa],tbl_de_massas[cartao_virtual_cvv],"--",0,1)</f>
        <v>0</v>
      </c>
    </row>
    <row r="83" spans="1:8" x14ac:dyDescent="0.25">
      <c r="A83" s="2" t="s">
        <v>2320</v>
      </c>
      <c r="B83" s="14" t="str">
        <f>_xlfn.XLOOKUP(TBL_USUARIOS[[#This Row],[ID_MASSA]],tbl_de_massas[id_massa],tbl_de_massas[cpf],"--",0,1)</f>
        <v>77766655544</v>
      </c>
      <c r="C83" t="s">
        <v>12</v>
      </c>
      <c r="D83" t="str">
        <f>_xlfn.XLOOKUP(TBL_USUARIOS[[#This Row],[ID_MASSA]],tbl_de_massas[id_massa],tbl_de_massas[nome_completo],"--",0,1)</f>
        <v>Cliente Cartao Teste</v>
      </c>
      <c r="E83" t="str">
        <f>_xlfn.XLOOKUP(TBL_USUARIOS[[#This Row],[ID_MASSA]],tbl_de_massas[id_massa],tbl_de_massas[cartao_fisico_numero],"--",0,1)</f>
        <v>5442 7460 1135 2723</v>
      </c>
      <c r="F83" t="str">
        <f>_xlfn.XLOOKUP(TBL_USUARIOS[[#This Row],[ID_MASSA]],tbl_de_massas[id_massa],tbl_de_massas[cartao_fisico_cvv],"--",0,1)</f>
        <v>544</v>
      </c>
      <c r="G83" t="str">
        <f>_xlfn.XLOOKUP(TBL_USUARIOS[[#This Row],[ID_MASSA]],tbl_de_massas[id_massa],tbl_de_massas[cartao_virtual_numero],"--",0,1)</f>
        <v/>
      </c>
      <c r="H83">
        <f>_xlfn.XLOOKUP(TBL_USUARIOS[[#This Row],[ID_MASSA]],tbl_de_massas[id_massa],tbl_de_massas[cartao_virtual_cvv],"--",0,1)</f>
        <v>0</v>
      </c>
    </row>
    <row r="84" spans="1:8" x14ac:dyDescent="0.25">
      <c r="A84" s="2" t="s">
        <v>2321</v>
      </c>
      <c r="B84" s="14" t="str">
        <f>_xlfn.XLOOKUP(TBL_USUARIOS[[#This Row],[ID_MASSA]],tbl_de_massas[id_massa],tbl_de_massas[cpf],"--",0,1)</f>
        <v>77766655599</v>
      </c>
      <c r="C84" t="s">
        <v>12</v>
      </c>
      <c r="D84" t="str">
        <f>_xlfn.XLOOKUP(TBL_USUARIOS[[#This Row],[ID_MASSA]],tbl_de_massas[id_massa],tbl_de_massas[nome_completo],"--",0,1)</f>
        <v>Cliente Cartao Teste</v>
      </c>
      <c r="E84" t="str">
        <f>_xlfn.XLOOKUP(TBL_USUARIOS[[#This Row],[ID_MASSA]],tbl_de_massas[id_massa],tbl_de_massas[cartao_fisico_numero],"--",0,1)</f>
        <v>5981 0124 9999 8888</v>
      </c>
      <c r="F84" t="str">
        <f>_xlfn.XLOOKUP(TBL_USUARIOS[[#This Row],[ID_MASSA]],tbl_de_massas[id_massa],tbl_de_massas[cartao_fisico_cvv],"--",0,1)</f>
        <v>777</v>
      </c>
      <c r="G84" t="str">
        <f>_xlfn.XLOOKUP(TBL_USUARIOS[[#This Row],[ID_MASSA]],tbl_de_massas[id_massa],tbl_de_massas[cartao_virtual_numero],"--",0,1)</f>
        <v>5981 0125 6673 7131</v>
      </c>
      <c r="H84" t="str">
        <f>_xlfn.XLOOKUP(TBL_USUARIOS[[#This Row],[ID_MASSA]],tbl_de_massas[id_massa],tbl_de_massas[cartao_virtual_cvv],"--",0,1)</f>
        <v>777</v>
      </c>
    </row>
    <row r="85" spans="1:8" x14ac:dyDescent="0.25">
      <c r="A85" s="2" t="s">
        <v>2322</v>
      </c>
      <c r="B85" s="14" t="str">
        <f>_xlfn.XLOOKUP(TBL_USUARIOS[[#This Row],[ID_MASSA]],tbl_de_massas[id_massa],tbl_de_massas[cpf],"--",0,1)</f>
        <v>66655544433</v>
      </c>
      <c r="C85" t="s">
        <v>12</v>
      </c>
      <c r="D85" t="str">
        <f>_xlfn.XLOOKUP(TBL_USUARIOS[[#This Row],[ID_MASSA]],tbl_de_massas[id_massa],tbl_de_massas[nome_completo],"--",0,1)</f>
        <v>Cliente Amex Vip</v>
      </c>
      <c r="E85" t="str">
        <f>_xlfn.XLOOKUP(TBL_USUARIOS[[#This Row],[ID_MASSA]],tbl_de_massas[id_massa],tbl_de_massas[cartao_fisico_numero],"--",0,1)</f>
        <v>3782 123456 78901</v>
      </c>
      <c r="F85" t="str">
        <f>_xlfn.XLOOKUP(TBL_USUARIOS[[#This Row],[ID_MASSA]],tbl_de_massas[id_massa],tbl_de_massas[cartao_fisico_cvv],"--",0,1)</f>
        <v>8821</v>
      </c>
      <c r="G85" t="str">
        <f>_xlfn.XLOOKUP(TBL_USUARIOS[[#This Row],[ID_MASSA]],tbl_de_massas[id_massa],tbl_de_massas[cartao_virtual_numero],"--",0,1)</f>
        <v>3782 608405 6139</v>
      </c>
      <c r="H85" t="str">
        <f>_xlfn.XLOOKUP(TBL_USUARIOS[[#This Row],[ID_MASSA]],tbl_de_massas[id_massa],tbl_de_massas[cartao_virtual_cvv],"--",0,1)</f>
        <v>8821</v>
      </c>
    </row>
    <row r="86" spans="1:8" x14ac:dyDescent="0.25">
      <c r="A86" s="2" t="s">
        <v>2323</v>
      </c>
      <c r="B86" s="14" t="str">
        <f>_xlfn.XLOOKUP(TBL_USUARIOS[[#This Row],[ID_MASSA]],tbl_de_massas[id_massa],tbl_de_massas[cpf],"--",0,1)</f>
        <v>19231521659</v>
      </c>
      <c r="C86" t="s">
        <v>12</v>
      </c>
      <c r="D86" t="str">
        <f>_xlfn.XLOOKUP(TBL_USUARIOS[[#This Row],[ID_MASSA]],tbl_de_massas[id_massa],tbl_de_massas[nome_completo],"--",0,1)</f>
        <v>Gabriel Vinicius Souza</v>
      </c>
      <c r="E86" t="str">
        <f>_xlfn.XLOOKUP(TBL_USUARIOS[[#This Row],[ID_MASSA]],tbl_de_massas[id_massa],tbl_de_massas[cartao_fisico_numero],"--",0,1)</f>
        <v>5067 1146 6189 842</v>
      </c>
      <c r="F86" t="str">
        <f>_xlfn.XLOOKUP(TBL_USUARIOS[[#This Row],[ID_MASSA]],tbl_de_massas[id_massa],tbl_de_massas[cartao_fisico_cvv],"--",0,1)</f>
        <v>333</v>
      </c>
      <c r="G86" t="str">
        <f>_xlfn.XLOOKUP(TBL_USUARIOS[[#This Row],[ID_MASSA]],tbl_de_massas[id_massa],tbl_de_massas[cartao_virtual_numero],"--",0,1)</f>
        <v/>
      </c>
      <c r="H86">
        <f>_xlfn.XLOOKUP(TBL_USUARIOS[[#This Row],[ID_MASSA]],tbl_de_massas[id_massa],tbl_de_massas[cartao_virtual_cvv],"--",0,1)</f>
        <v>0</v>
      </c>
    </row>
    <row r="87" spans="1:8" x14ac:dyDescent="0.25">
      <c r="A87" s="2" t="s">
        <v>2324</v>
      </c>
      <c r="B87" s="14" t="str">
        <f>_xlfn.XLOOKUP(TBL_USUARIOS[[#This Row],[ID_MASSA]],tbl_de_massas[id_massa],tbl_de_massas[cpf],"--",0,1)</f>
        <v>78475680046</v>
      </c>
      <c r="C87" t="s">
        <v>12</v>
      </c>
      <c r="D87" t="str">
        <f>_xlfn.XLOOKUP(TBL_USUARIOS[[#This Row],[ID_MASSA]],tbl_de_massas[id_massa],tbl_de_massas[nome_completo],"--",0,1)</f>
        <v>Rodrigo Mendes Oliveira</v>
      </c>
      <c r="E87" t="str">
        <f>_xlfn.XLOOKUP(TBL_USUARIOS[[#This Row],[ID_MASSA]],tbl_de_massas[id_massa],tbl_de_massas[cartao_fisico_numero],"--",0,1)</f>
        <v>5442 7460 6201 6839</v>
      </c>
      <c r="F87" t="str">
        <f>_xlfn.XLOOKUP(TBL_USUARIOS[[#This Row],[ID_MASSA]],tbl_de_massas[id_massa],tbl_de_massas[cartao_fisico_cvv],"--",0,1)</f>
        <v>333</v>
      </c>
      <c r="G87" t="str">
        <f>_xlfn.XLOOKUP(TBL_USUARIOS[[#This Row],[ID_MASSA]],tbl_de_massas[id_massa],tbl_de_massas[cartao_virtual_numero],"--",0,1)</f>
        <v/>
      </c>
      <c r="H87">
        <f>_xlfn.XLOOKUP(TBL_USUARIOS[[#This Row],[ID_MASSA]],tbl_de_massas[id_massa],tbl_de_massas[cartao_virtual_cvv],"--",0,1)</f>
        <v>0</v>
      </c>
    </row>
    <row r="88" spans="1:8" x14ac:dyDescent="0.25">
      <c r="A88" s="2" t="s">
        <v>2325</v>
      </c>
      <c r="B88" s="14" t="str">
        <f>_xlfn.XLOOKUP(TBL_USUARIOS[[#This Row],[ID_MASSA]],tbl_de_massas[id_massa],tbl_de_massas[cpf],"--",0,1)</f>
        <v>92454501635</v>
      </c>
      <c r="C88" t="s">
        <v>12</v>
      </c>
      <c r="D88" t="str">
        <f>_xlfn.XLOOKUP(TBL_USUARIOS[[#This Row],[ID_MASSA]],tbl_de_massas[id_massa],tbl_de_massas[nome_completo],"--",0,1)</f>
        <v>Laurine Maillard</v>
      </c>
      <c r="E88" t="str">
        <f>_xlfn.XLOOKUP(TBL_USUARIOS[[#This Row],[ID_MASSA]],tbl_de_massas[id_massa],tbl_de_massas[cartao_fisico_numero],"--",0,1)</f>
        <v>5442 7460 4528 6363</v>
      </c>
      <c r="F88" t="str">
        <f>_xlfn.XLOOKUP(TBL_USUARIOS[[#This Row],[ID_MASSA]],tbl_de_massas[id_massa],tbl_de_massas[cartao_fisico_cvv],"--",0,1)</f>
        <v>635</v>
      </c>
      <c r="G88" t="str">
        <f>_xlfn.XLOOKUP(TBL_USUARIOS[[#This Row],[ID_MASSA]],tbl_de_massas[id_massa],tbl_de_massas[cartao_virtual_numero],"--",0,1)</f>
        <v/>
      </c>
      <c r="H88">
        <f>_xlfn.XLOOKUP(TBL_USUARIOS[[#This Row],[ID_MASSA]],tbl_de_massas[id_massa],tbl_de_massas[cartao_virtual_cvv],"--",0,1)</f>
        <v>0</v>
      </c>
    </row>
    <row r="89" spans="1:8" x14ac:dyDescent="0.25">
      <c r="A89" s="2" t="s">
        <v>2326</v>
      </c>
      <c r="B89" s="14" t="str">
        <f>_xlfn.XLOOKUP(TBL_USUARIOS[[#This Row],[ID_MASSA]],tbl_de_massas[id_massa],tbl_de_massas[cpf],"--",0,1)</f>
        <v>88339779788</v>
      </c>
      <c r="C89" t="s">
        <v>12</v>
      </c>
      <c r="D89" t="str">
        <f>_xlfn.XLOOKUP(TBL_USUARIOS[[#This Row],[ID_MASSA]],tbl_de_massas[id_massa],tbl_de_massas[nome_completo],"--",0,1)</f>
        <v>Mathilde Le gall</v>
      </c>
      <c r="E89" t="str">
        <f>_xlfn.XLOOKUP(TBL_USUARIOS[[#This Row],[ID_MASSA]],tbl_de_massas[id_massa],tbl_de_massas[cartao_fisico_numero],"--",0,1)</f>
        <v>5442 7460 7512 2955</v>
      </c>
      <c r="F89" t="str">
        <f>_xlfn.XLOOKUP(TBL_USUARIOS[[#This Row],[ID_MASSA]],tbl_de_massas[id_massa],tbl_de_massas[cartao_fisico_cvv],"--",0,1)</f>
        <v>788</v>
      </c>
      <c r="G89" t="str">
        <f>_xlfn.XLOOKUP(TBL_USUARIOS[[#This Row],[ID_MASSA]],tbl_de_massas[id_massa],tbl_de_massas[cartao_virtual_numero],"--",0,1)</f>
        <v/>
      </c>
      <c r="H89">
        <f>_xlfn.XLOOKUP(TBL_USUARIOS[[#This Row],[ID_MASSA]],tbl_de_massas[id_massa],tbl_de_massas[cartao_virtual_cvv],"--",0,1)</f>
        <v>0</v>
      </c>
    </row>
    <row r="90" spans="1:8" x14ac:dyDescent="0.25">
      <c r="A90" s="2" t="s">
        <v>2327</v>
      </c>
      <c r="B90" s="14" t="str">
        <f>_xlfn.XLOOKUP(TBL_USUARIOS[[#This Row],[ID_MASSA]],tbl_de_massas[id_massa],tbl_de_massas[cpf],"--",0,1)</f>
        <v>12902848900</v>
      </c>
      <c r="C90" t="s">
        <v>12</v>
      </c>
      <c r="D90" t="str">
        <f>_xlfn.XLOOKUP(TBL_USUARIOS[[#This Row],[ID_MASSA]],tbl_de_massas[id_massa],tbl_de_massas[nome_completo],"--",0,1)</f>
        <v>Mariana Costa Silva</v>
      </c>
      <c r="E90" t="str">
        <f>_xlfn.XLOOKUP(TBL_USUARIOS[[#This Row],[ID_MASSA]],tbl_de_massas[id_massa],tbl_de_massas[cartao_fisico_numero],"--",0,1)</f>
        <v>4576 7460 6419 0687</v>
      </c>
      <c r="F90" t="str">
        <f>_xlfn.XLOOKUP(TBL_USUARIOS[[#This Row],[ID_MASSA]],tbl_de_massas[id_massa],tbl_de_massas[cartao_fisico_cvv],"--",0,1)</f>
        <v>333</v>
      </c>
      <c r="G90" t="str">
        <f>_xlfn.XLOOKUP(TBL_USUARIOS[[#This Row],[ID_MASSA]],tbl_de_massas[id_massa],tbl_de_massas[cartao_virtual_numero],"--",0,1)</f>
        <v/>
      </c>
      <c r="H90">
        <f>_xlfn.XLOOKUP(TBL_USUARIOS[[#This Row],[ID_MASSA]],tbl_de_massas[id_massa],tbl_de_massas[cartao_virtual_cvv],"--",0,1)</f>
        <v>0</v>
      </c>
    </row>
    <row r="91" spans="1:8" x14ac:dyDescent="0.25">
      <c r="A91" s="2" t="s">
        <v>2328</v>
      </c>
      <c r="B91" s="14" t="str">
        <f>_xlfn.XLOOKUP(TBL_USUARIOS[[#This Row],[ID_MASSA]],tbl_de_massas[id_massa],tbl_de_massas[cpf],"--",0,1)</f>
        <v>44444444444</v>
      </c>
      <c r="C91" t="s">
        <v>12</v>
      </c>
      <c r="D91" t="str">
        <f>_xlfn.XLOOKUP(TBL_USUARIOS[[#This Row],[ID_MASSA]],tbl_de_massas[id_massa],tbl_de_massas[nome_completo],"--",0,1)</f>
        <v>Fernanda Lima</v>
      </c>
      <c r="E91" t="str">
        <f>_xlfn.XLOOKUP(TBL_USUARIOS[[#This Row],[ID_MASSA]],tbl_de_massas[id_massa],tbl_de_massas[cartao_fisico_numero],"--",0,1)</f>
        <v>5442 7460 6411 5291</v>
      </c>
      <c r="F91" t="str">
        <f>_xlfn.XLOOKUP(TBL_USUARIOS[[#This Row],[ID_MASSA]],tbl_de_massas[id_massa],tbl_de_massas[cartao_fisico_cvv],"--",0,1)</f>
        <v>444</v>
      </c>
      <c r="G91" t="str">
        <f>_xlfn.XLOOKUP(TBL_USUARIOS[[#This Row],[ID_MASSA]],tbl_de_massas[id_massa],tbl_de_massas[cartao_virtual_numero],"--",0,1)</f>
        <v/>
      </c>
      <c r="H91">
        <f>_xlfn.XLOOKUP(TBL_USUARIOS[[#This Row],[ID_MASSA]],tbl_de_massas[id_massa],tbl_de_massas[cartao_virtual_cvv],"--",0,1)</f>
        <v>0</v>
      </c>
    </row>
    <row r="92" spans="1:8" x14ac:dyDescent="0.25">
      <c r="A92" s="2" t="s">
        <v>2329</v>
      </c>
      <c r="B92" s="14" t="str">
        <f>_xlfn.XLOOKUP(TBL_USUARIOS[[#This Row],[ID_MASSA]],tbl_de_massas[id_massa],tbl_de_massas[cpf],"--",0,1)</f>
        <v>05458223608</v>
      </c>
      <c r="C92" t="s">
        <v>12</v>
      </c>
      <c r="D92" t="str">
        <f>_xlfn.XLOOKUP(TBL_USUARIOS[[#This Row],[ID_MASSA]],tbl_de_massas[id_massa],tbl_de_massas[nome_completo],"--",0,1)</f>
        <v>Gustave Jacquet</v>
      </c>
      <c r="E92" t="str">
        <f>_xlfn.XLOOKUP(TBL_USUARIOS[[#This Row],[ID_MASSA]],tbl_de_massas[id_massa],tbl_de_massas[cartao_fisico_numero],"--",0,1)</f>
        <v>5442 7460 1587 4139</v>
      </c>
      <c r="F92" t="str">
        <f>_xlfn.XLOOKUP(TBL_USUARIOS[[#This Row],[ID_MASSA]],tbl_de_massas[id_massa],tbl_de_massas[cartao_fisico_cvv],"--",0,1)</f>
        <v>608</v>
      </c>
      <c r="G92" t="str">
        <f>_xlfn.XLOOKUP(TBL_USUARIOS[[#This Row],[ID_MASSA]],tbl_de_massas[id_massa],tbl_de_massas[cartao_virtual_numero],"--",0,1)</f>
        <v/>
      </c>
      <c r="H92">
        <f>_xlfn.XLOOKUP(TBL_USUARIOS[[#This Row],[ID_MASSA]],tbl_de_massas[id_massa],tbl_de_massas[cartao_virtual_cvv],"--",0,1)</f>
        <v>0</v>
      </c>
    </row>
    <row r="93" spans="1:8" x14ac:dyDescent="0.25">
      <c r="A93" s="2" t="s">
        <v>2330</v>
      </c>
      <c r="B93" s="14" t="str">
        <f>_xlfn.XLOOKUP(TBL_USUARIOS[[#This Row],[ID_MASSA]],tbl_de_massas[id_massa],tbl_de_massas[cpf],"--",0,1)</f>
        <v>42111679011</v>
      </c>
      <c r="C93" t="s">
        <v>12</v>
      </c>
      <c r="D93" t="str">
        <f>_xlfn.XLOOKUP(TBL_USUARIOS[[#This Row],[ID_MASSA]],tbl_de_massas[id_massa],tbl_de_massas[nome_completo],"--",0,1)</f>
        <v>Camila Beatriz Santos</v>
      </c>
      <c r="E93" t="str">
        <f>_xlfn.XLOOKUP(TBL_USUARIOS[[#This Row],[ID_MASSA]],tbl_de_massas[id_massa],tbl_de_massas[cartao_fisico_numero],"--",0,1)</f>
        <v>5442 7460 6318 0938</v>
      </c>
      <c r="F93" t="str">
        <f>_xlfn.XLOOKUP(TBL_USUARIOS[[#This Row],[ID_MASSA]],tbl_de_massas[id_massa],tbl_de_massas[cartao_fisico_cvv],"--",0,1)</f>
        <v>333</v>
      </c>
      <c r="G93" t="str">
        <f>_xlfn.XLOOKUP(TBL_USUARIOS[[#This Row],[ID_MASSA]],tbl_de_massas[id_massa],tbl_de_massas[cartao_virtual_numero],"--",0,1)</f>
        <v/>
      </c>
      <c r="H93">
        <f>_xlfn.XLOOKUP(TBL_USUARIOS[[#This Row],[ID_MASSA]],tbl_de_massas[id_massa],tbl_de_massas[cartao_virtual_cvv],"--",0,1)</f>
        <v>0</v>
      </c>
    </row>
    <row r="94" spans="1:8" x14ac:dyDescent="0.25">
      <c r="A94" s="2" t="s">
        <v>2331</v>
      </c>
      <c r="B94" s="14" t="str">
        <f>_xlfn.XLOOKUP(TBL_USUARIOS[[#This Row],[ID_MASSA]],tbl_de_massas[id_massa],tbl_de_massas[cpf],"--",0,1)</f>
        <v>73129536620</v>
      </c>
      <c r="C94" t="s">
        <v>12</v>
      </c>
      <c r="D94" t="str">
        <f>_xlfn.XLOOKUP(TBL_USUARIOS[[#This Row],[ID_MASSA]],tbl_de_massas[id_massa],tbl_de_massas[nome_completo],"--",0,1)</f>
        <v>Juliana Lima Rezende</v>
      </c>
      <c r="E94" t="str">
        <f>_xlfn.XLOOKUP(TBL_USUARIOS[[#This Row],[ID_MASSA]],tbl_de_massas[id_massa],tbl_de_massas[cartao_fisico_numero],"--",0,1)</f>
        <v>4576 7460 1295 1259</v>
      </c>
      <c r="F94" t="str">
        <f>_xlfn.XLOOKUP(TBL_USUARIOS[[#This Row],[ID_MASSA]],tbl_de_massas[id_massa],tbl_de_massas[cartao_fisico_cvv],"--",0,1)</f>
        <v>333</v>
      </c>
      <c r="G94" t="str">
        <f>_xlfn.XLOOKUP(TBL_USUARIOS[[#This Row],[ID_MASSA]],tbl_de_massas[id_massa],tbl_de_massas[cartao_virtual_numero],"--",0,1)</f>
        <v/>
      </c>
      <c r="H94">
        <f>_xlfn.XLOOKUP(TBL_USUARIOS[[#This Row],[ID_MASSA]],tbl_de_massas[id_massa],tbl_de_massas[cartao_virtual_cvv],"--",0,1)</f>
        <v>0</v>
      </c>
    </row>
    <row r="95" spans="1:8" x14ac:dyDescent="0.25">
      <c r="A95" s="2" t="s">
        <v>2332</v>
      </c>
      <c r="B95" s="14" t="str">
        <f>_xlfn.XLOOKUP(TBL_USUARIOS[[#This Row],[ID_MASSA]],tbl_de_massas[id_massa],tbl_de_massas[cpf],"--",0,1)</f>
        <v>42194343806</v>
      </c>
      <c r="C95" t="s">
        <v>12</v>
      </c>
      <c r="D95" t="str">
        <f>_xlfn.XLOOKUP(TBL_USUARIOS[[#This Row],[ID_MASSA]],tbl_de_massas[id_massa],tbl_de_massas[nome_completo],"--",0,1)</f>
        <v>Bruno Henrique Alves</v>
      </c>
      <c r="E95" t="str">
        <f>_xlfn.XLOOKUP(TBL_USUARIOS[[#This Row],[ID_MASSA]],tbl_de_massas[id_massa],tbl_de_massas[cartao_fisico_numero],"--",0,1)</f>
        <v>4576 7460 4934 6097</v>
      </c>
      <c r="F95" t="str">
        <f>_xlfn.XLOOKUP(TBL_USUARIOS[[#This Row],[ID_MASSA]],tbl_de_massas[id_massa],tbl_de_massas[cartao_fisico_cvv],"--",0,1)</f>
        <v>333</v>
      </c>
      <c r="G95" t="str">
        <f>_xlfn.XLOOKUP(TBL_USUARIOS[[#This Row],[ID_MASSA]],tbl_de_massas[id_massa],tbl_de_massas[cartao_virtual_numero],"--",0,1)</f>
        <v/>
      </c>
      <c r="H95">
        <f>_xlfn.XLOOKUP(TBL_USUARIOS[[#This Row],[ID_MASSA]],tbl_de_massas[id_massa],tbl_de_massas[cartao_virtual_cvv],"--",0,1)</f>
        <v>0</v>
      </c>
    </row>
    <row r="96" spans="1:8" x14ac:dyDescent="0.25">
      <c r="A96" s="2" t="s">
        <v>2333</v>
      </c>
      <c r="B96" s="14" t="str">
        <f>_xlfn.XLOOKUP(TBL_USUARIOS[[#This Row],[ID_MASSA]],tbl_de_massas[id_massa],tbl_de_massas[cpf],"--",0,1)</f>
        <v>68141495240</v>
      </c>
      <c r="C96" t="s">
        <v>12</v>
      </c>
      <c r="D96" t="str">
        <f>_xlfn.XLOOKUP(TBL_USUARIOS[[#This Row],[ID_MASSA]],tbl_de_massas[id_massa],tbl_de_massas[nome_completo],"--",0,1)</f>
        <v>Lucas Gabriel Ferreira</v>
      </c>
      <c r="E96" t="str">
        <f>_xlfn.XLOOKUP(TBL_USUARIOS[[#This Row],[ID_MASSA]],tbl_de_massas[id_massa],tbl_de_massas[cartao_fisico_numero],"--",0,1)</f>
        <v>6505 0666 1745 4082</v>
      </c>
      <c r="F96" t="str">
        <f>_xlfn.XLOOKUP(TBL_USUARIOS[[#This Row],[ID_MASSA]],tbl_de_massas[id_massa],tbl_de_massas[cartao_fisico_cvv],"--",0,1)</f>
        <v>333</v>
      </c>
      <c r="G96" t="str">
        <f>_xlfn.XLOOKUP(TBL_USUARIOS[[#This Row],[ID_MASSA]],tbl_de_massas[id_massa],tbl_de_massas[cartao_virtual_numero],"--",0,1)</f>
        <v/>
      </c>
      <c r="H96">
        <f>_xlfn.XLOOKUP(TBL_USUARIOS[[#This Row],[ID_MASSA]],tbl_de_massas[id_massa],tbl_de_massas[cartao_virtual_cvv],"--",0,1)</f>
        <v>0</v>
      </c>
    </row>
    <row r="97" spans="1:8" x14ac:dyDescent="0.25">
      <c r="A97" s="2" t="s">
        <v>2334</v>
      </c>
      <c r="B97" s="14" t="str">
        <f>_xlfn.XLOOKUP(TBL_USUARIOS[[#This Row],[ID_MASSA]],tbl_de_massas[id_massa],tbl_de_massas[cpf],"--",0,1)</f>
        <v>11879646706</v>
      </c>
      <c r="C97" t="s">
        <v>12</v>
      </c>
      <c r="D97" t="str">
        <f>_xlfn.XLOOKUP(TBL_USUARIOS[[#This Row],[ID_MASSA]],tbl_de_massas[id_massa],tbl_de_massas[nome_completo],"--",0,1)</f>
        <v>Santiago Gomez</v>
      </c>
      <c r="E97" t="str">
        <f>_xlfn.XLOOKUP(TBL_USUARIOS[[#This Row],[ID_MASSA]],tbl_de_massas[id_massa],tbl_de_massas[cartao_fisico_numero],"--",0,1)</f>
        <v>6505 0666 7565 3509</v>
      </c>
      <c r="F97" t="str">
        <f>_xlfn.XLOOKUP(TBL_USUARIOS[[#This Row],[ID_MASSA]],tbl_de_massas[id_massa],tbl_de_massas[cartao_fisico_cvv],"--",0,1)</f>
        <v>333</v>
      </c>
      <c r="G97" t="str">
        <f>_xlfn.XLOOKUP(TBL_USUARIOS[[#This Row],[ID_MASSA]],tbl_de_massas[id_massa],tbl_de_massas[cartao_virtual_numero],"--",0,1)</f>
        <v/>
      </c>
      <c r="H97">
        <f>_xlfn.XLOOKUP(TBL_USUARIOS[[#This Row],[ID_MASSA]],tbl_de_massas[id_massa],tbl_de_massas[cartao_virtual_cvv],"--",0,1)</f>
        <v>0</v>
      </c>
    </row>
    <row r="98" spans="1:8" x14ac:dyDescent="0.25">
      <c r="A98" s="2" t="s">
        <v>2335</v>
      </c>
      <c r="B98" s="14" t="str">
        <f>_xlfn.XLOOKUP(TBL_USUARIOS[[#This Row],[ID_MASSA]],tbl_de_massas[id_massa],tbl_de_massas[cpf],"--",0,1)</f>
        <v>86236132526</v>
      </c>
      <c r="C98" t="s">
        <v>2352</v>
      </c>
      <c r="D98" t="str">
        <f>_xlfn.XLOOKUP(TBL_USUARIOS[[#This Row],[ID_MASSA]],tbl_de_massas[id_massa],tbl_de_massas[nome_completo],"--",0,1)</f>
        <v>Albérade Chevalier</v>
      </c>
      <c r="E98" t="str">
        <f>_xlfn.XLOOKUP(TBL_USUARIOS[[#This Row],[ID_MASSA]],tbl_de_massas[id_massa],tbl_de_massas[cartao_fisico_numero],"--",0,1)</f>
        <v>5185 4460 8680 7410</v>
      </c>
      <c r="F98" t="str">
        <f>_xlfn.XLOOKUP(TBL_USUARIOS[[#This Row],[ID_MASSA]],tbl_de_massas[id_massa],tbl_de_massas[cartao_fisico_cvv],"--",0,1)</f>
        <v>526</v>
      </c>
      <c r="G98" t="str">
        <f>_xlfn.XLOOKUP(TBL_USUARIOS[[#This Row],[ID_MASSA]],tbl_de_massas[id_massa],tbl_de_massas[cartao_virtual_numero],"--",0,1)</f>
        <v/>
      </c>
      <c r="H98">
        <f>_xlfn.XLOOKUP(TBL_USUARIOS[[#This Row],[ID_MASSA]],tbl_de_massas[id_massa],tbl_de_massas[cartao_virtual_cvv],"--",0,1)</f>
        <v>0</v>
      </c>
    </row>
    <row r="99" spans="1:8" x14ac:dyDescent="0.25">
      <c r="A99" s="2" t="s">
        <v>2336</v>
      </c>
      <c r="B99" s="14" t="str">
        <f>_xlfn.XLOOKUP(TBL_USUARIOS[[#This Row],[ID_MASSA]],tbl_de_massas[id_massa],tbl_de_massas[cpf],"--",0,1)</f>
        <v>34310951783</v>
      </c>
      <c r="C99" t="s">
        <v>2354</v>
      </c>
      <c r="D99" t="str">
        <f>_xlfn.XLOOKUP(TBL_USUARIOS[[#This Row],[ID_MASSA]],tbl_de_massas[id_massa],tbl_de_massas[nome_completo],"--",0,1)</f>
        <v>Michael David Williams</v>
      </c>
      <c r="E99" t="str">
        <f>_xlfn.XLOOKUP(TBL_USUARIOS[[#This Row],[ID_MASSA]],tbl_de_massas[id_massa],tbl_de_massas[cartao_fisico_numero],"--",0,1)</f>
        <v>6062 8200 9426 0604</v>
      </c>
      <c r="F99" t="str">
        <f>_xlfn.XLOOKUP(TBL_USUARIOS[[#This Row],[ID_MASSA]],tbl_de_massas[id_massa],tbl_de_massas[cartao_fisico_cvv],"--",0,1)</f>
        <v>333</v>
      </c>
      <c r="G99" t="str">
        <f>_xlfn.XLOOKUP(TBL_USUARIOS[[#This Row],[ID_MASSA]],tbl_de_massas[id_massa],tbl_de_massas[cartao_virtual_numero],"--",0,1)</f>
        <v/>
      </c>
      <c r="H99">
        <f>_xlfn.XLOOKUP(TBL_USUARIOS[[#This Row],[ID_MASSA]],tbl_de_massas[id_massa],tbl_de_massas[cartao_virtual_cvv],"--",0,1)</f>
        <v>0</v>
      </c>
    </row>
    <row r="100" spans="1:8" x14ac:dyDescent="0.25">
      <c r="A100" s="2" t="s">
        <v>2337</v>
      </c>
      <c r="B100" s="14" t="str">
        <f>_xlfn.XLOOKUP(TBL_USUARIOS[[#This Row],[ID_MASSA]],tbl_de_massas[id_massa],tbl_de_massas[cpf],"--",0,1)</f>
        <v>42681570697</v>
      </c>
      <c r="C100" t="s">
        <v>2356</v>
      </c>
      <c r="D100" t="str">
        <f>_xlfn.XLOOKUP(TBL_USUARIOS[[#This Row],[ID_MASSA]],tbl_de_massas[id_massa],tbl_de_massas[nome_completo],"--",0,1)</f>
        <v>Felix Weber</v>
      </c>
      <c r="E100" t="str">
        <f>_xlfn.XLOOKUP(TBL_USUARIOS[[#This Row],[ID_MASSA]],tbl_de_massas[id_massa],tbl_de_massas[cartao_fisico_numero],"--",0,1)</f>
        <v>6062 8200 2382 2068</v>
      </c>
      <c r="F100" t="str">
        <f>_xlfn.XLOOKUP(TBL_USUARIOS[[#This Row],[ID_MASSA]],tbl_de_massas[id_massa],tbl_de_massas[cartao_fisico_cvv],"--",0,1)</f>
        <v>333</v>
      </c>
      <c r="G100" t="str">
        <f>_xlfn.XLOOKUP(TBL_USUARIOS[[#This Row],[ID_MASSA]],tbl_de_massas[id_massa],tbl_de_massas[cartao_virtual_numero],"--",0,1)</f>
        <v/>
      </c>
      <c r="H100">
        <f>_xlfn.XLOOKUP(TBL_USUARIOS[[#This Row],[ID_MASSA]],tbl_de_massas[id_massa],tbl_de_massas[cartao_virtual_cvv],"--",0,1)</f>
        <v>0</v>
      </c>
    </row>
    <row r="101" spans="1:8" x14ac:dyDescent="0.25">
      <c r="A101" s="2" t="s">
        <v>2338</v>
      </c>
      <c r="B101" s="14" t="str">
        <f>_xlfn.XLOOKUP(TBL_USUARIOS[[#This Row],[ID_MASSA]],tbl_de_massas[id_massa],tbl_de_massas[cpf],"--",0,1)</f>
        <v>23626419533</v>
      </c>
      <c r="C101" t="s">
        <v>2363</v>
      </c>
      <c r="D101" t="str">
        <f>_xlfn.XLOOKUP(TBL_USUARIOS[[#This Row],[ID_MASSA]],tbl_de_massas[id_massa],tbl_de_massas[nome_completo],"--",0,1)</f>
        <v>Matteo Rossi</v>
      </c>
      <c r="E101" t="str">
        <f>_xlfn.XLOOKUP(TBL_USUARIOS[[#This Row],[ID_MASSA]],tbl_de_massas[id_massa],tbl_de_massas[cartao_fisico_numero],"--",0,1)</f>
        <v>5442 7460 2709 5864</v>
      </c>
      <c r="F101" t="str">
        <f>_xlfn.XLOOKUP(TBL_USUARIOS[[#This Row],[ID_MASSA]],tbl_de_massas[id_massa],tbl_de_massas[cartao_fisico_cvv],"--",0,1)</f>
        <v>333</v>
      </c>
      <c r="G101" t="str">
        <f>_xlfn.XLOOKUP(TBL_USUARIOS[[#This Row],[ID_MASSA]],tbl_de_massas[id_massa],tbl_de_massas[cartao_virtual_numero],"--",0,1)</f>
        <v/>
      </c>
      <c r="H101">
        <f>_xlfn.XLOOKUP(TBL_USUARIOS[[#This Row],[ID_MASSA]],tbl_de_massas[id_massa],tbl_de_massas[cartao_virtual_cvv],"--",0,1)</f>
        <v>0</v>
      </c>
    </row>
    <row r="102" spans="1:8" x14ac:dyDescent="0.25">
      <c r="A102" s="2" t="s">
        <v>2339</v>
      </c>
      <c r="B102" s="14" t="str">
        <f>_xlfn.XLOOKUP(TBL_USUARIOS[[#This Row],[ID_MASSA]],tbl_de_massas[id_massa],tbl_de_massas[cpf],"--",0,1)</f>
        <v>46945365409</v>
      </c>
      <c r="C102" t="s">
        <v>2364</v>
      </c>
      <c r="D102" t="str">
        <f>_xlfn.XLOOKUP(TBL_USUARIOS[[#This Row],[ID_MASSA]],tbl_de_massas[id_massa],tbl_de_massas[nome_completo],"--",0,1)</f>
        <v>Valentina Rodriguez</v>
      </c>
      <c r="E102" t="str">
        <f>_xlfn.XLOOKUP(TBL_USUARIOS[[#This Row],[ID_MASSA]],tbl_de_massas[id_massa],tbl_de_massas[cartao_fisico_numero],"--",0,1)</f>
        <v>4576 7460 2148 2328</v>
      </c>
      <c r="F102" t="str">
        <f>_xlfn.XLOOKUP(TBL_USUARIOS[[#This Row],[ID_MASSA]],tbl_de_massas[id_massa],tbl_de_massas[cartao_fisico_cvv],"--",0,1)</f>
        <v>333</v>
      </c>
      <c r="G102" t="str">
        <f>_xlfn.XLOOKUP(TBL_USUARIOS[[#This Row],[ID_MASSA]],tbl_de_massas[id_massa],tbl_de_massas[cartao_virtual_numero],"--",0,1)</f>
        <v/>
      </c>
      <c r="H102">
        <f>_xlfn.XLOOKUP(TBL_USUARIOS[[#This Row],[ID_MASSA]],tbl_de_massas[id_massa],tbl_de_massas[cartao_virtual_cvv],"--",0,1)</f>
        <v>0</v>
      </c>
    </row>
    <row r="103" spans="1:8" x14ac:dyDescent="0.25">
      <c r="A103" s="2" t="s">
        <v>2340</v>
      </c>
      <c r="B103" s="14" t="str">
        <f>_xlfn.XLOOKUP(TBL_USUARIOS[[#This Row],[ID_MASSA]],tbl_de_massas[id_massa],tbl_de_massas[cpf],"--",0,1)</f>
        <v>02915062919</v>
      </c>
      <c r="C103" t="s">
        <v>2365</v>
      </c>
      <c r="D103" t="str">
        <f>_xlfn.XLOOKUP(TBL_USUARIOS[[#This Row],[ID_MASSA]],tbl_de_massas[id_massa],tbl_de_massas[nome_completo],"--",0,1)</f>
        <v>Martim Costa</v>
      </c>
      <c r="E103" t="str">
        <f>_xlfn.XLOOKUP(TBL_USUARIOS[[#This Row],[ID_MASSA]],tbl_de_massas[id_massa],tbl_de_massas[cartao_fisico_numero],"--",0,1)</f>
        <v>6505 0666 7166 3754</v>
      </c>
      <c r="F103" t="str">
        <f>_xlfn.XLOOKUP(TBL_USUARIOS[[#This Row],[ID_MASSA]],tbl_de_massas[id_massa],tbl_de_massas[cartao_fisico_cvv],"--",0,1)</f>
        <v>333</v>
      </c>
      <c r="G103" t="str">
        <f>_xlfn.XLOOKUP(TBL_USUARIOS[[#This Row],[ID_MASSA]],tbl_de_massas[id_massa],tbl_de_massas[cartao_virtual_numero],"--",0,1)</f>
        <v/>
      </c>
      <c r="H103">
        <f>_xlfn.XLOOKUP(TBL_USUARIOS[[#This Row],[ID_MASSA]],tbl_de_massas[id_massa],tbl_de_massas[cartao_virtual_cvv],"--",0,1)</f>
        <v>0</v>
      </c>
    </row>
    <row r="104" spans="1:8" x14ac:dyDescent="0.25">
      <c r="A104" s="2" t="s">
        <v>2341</v>
      </c>
      <c r="B104" s="14" t="str">
        <f>_xlfn.XLOOKUP(TBL_USUARIOS[[#This Row],[ID_MASSA]],tbl_de_massas[id_massa],tbl_de_massas[cpf],"--",0,1)</f>
        <v>58480256907</v>
      </c>
      <c r="C104" t="s">
        <v>2366</v>
      </c>
      <c r="D104" t="str">
        <f>_xlfn.XLOOKUP(TBL_USUARIOS[[#This Row],[ID_MASSA]],tbl_de_massas[id_massa],tbl_de_massas[nome_completo],"--",0,1)</f>
        <v>Dohyun Choi</v>
      </c>
      <c r="E104" t="str">
        <f>_xlfn.XLOOKUP(TBL_USUARIOS[[#This Row],[ID_MASSA]],tbl_de_massas[id_massa],tbl_de_massas[cartao_fisico_numero],"--",0,1)</f>
        <v>3782 431206 7566</v>
      </c>
      <c r="F104" t="str">
        <f>_xlfn.XLOOKUP(TBL_USUARIOS[[#This Row],[ID_MASSA]],tbl_de_massas[id_massa],tbl_de_massas[cartao_fisico_cvv],"--",0,1)</f>
        <v>8821</v>
      </c>
      <c r="G104" t="str">
        <f>_xlfn.XLOOKUP(TBL_USUARIOS[[#This Row],[ID_MASSA]],tbl_de_massas[id_massa],tbl_de_massas[cartao_virtual_numero],"--",0,1)</f>
        <v/>
      </c>
      <c r="H104">
        <f>_xlfn.XLOOKUP(TBL_USUARIOS[[#This Row],[ID_MASSA]],tbl_de_massas[id_massa],tbl_de_massas[cartao_virtual_cvv],"--",0,1)</f>
        <v>0</v>
      </c>
    </row>
    <row r="105" spans="1:8" x14ac:dyDescent="0.25">
      <c r="A105" s="2" t="s">
        <v>2342</v>
      </c>
      <c r="B105" s="14" t="str">
        <f>_xlfn.XLOOKUP(TBL_USUARIOS[[#This Row],[ID_MASSA]],tbl_de_massas[id_massa],tbl_de_massas[cpf],"--",0,1)</f>
        <v>38160081359</v>
      </c>
      <c r="C105" t="s">
        <v>2367</v>
      </c>
      <c r="D105" t="str">
        <f>_xlfn.XLOOKUP(TBL_USUARIOS[[#This Row],[ID_MASSA]],tbl_de_massas[id_massa],tbl_de_massas[nome_completo],"--",0,1)</f>
        <v>Mateo Fernandez</v>
      </c>
      <c r="E105" t="str">
        <f>_xlfn.XLOOKUP(TBL_USUARIOS[[#This Row],[ID_MASSA]],tbl_de_massas[id_massa],tbl_de_massas[cartao_fisico_numero],"--",0,1)</f>
        <v>6062 8200 6029 3753</v>
      </c>
      <c r="F105" t="str">
        <f>_xlfn.XLOOKUP(TBL_USUARIOS[[#This Row],[ID_MASSA]],tbl_de_massas[id_massa],tbl_de_massas[cartao_fisico_cvv],"--",0,1)</f>
        <v>333</v>
      </c>
      <c r="G105" t="str">
        <f>_xlfn.XLOOKUP(TBL_USUARIOS[[#This Row],[ID_MASSA]],tbl_de_massas[id_massa],tbl_de_massas[cartao_virtual_numero],"--",0,1)</f>
        <v/>
      </c>
      <c r="H105">
        <f>_xlfn.XLOOKUP(TBL_USUARIOS[[#This Row],[ID_MASSA]],tbl_de_massas[id_massa],tbl_de_massas[cartao_virtual_cvv],"--",0,1)</f>
        <v>0</v>
      </c>
    </row>
    <row r="106" spans="1:8" x14ac:dyDescent="0.25">
      <c r="A106" s="2" t="s">
        <v>2343</v>
      </c>
      <c r="B106" s="14" t="str">
        <f>_xlfn.XLOOKUP(TBL_USUARIOS[[#This Row],[ID_MASSA]],tbl_de_massas[id_massa],tbl_de_massas[cpf],"--",0,1)</f>
        <v>98215828507</v>
      </c>
      <c r="C106" t="s">
        <v>2368</v>
      </c>
      <c r="D106" t="str">
        <f>_xlfn.XLOOKUP(TBL_USUARIOS[[#This Row],[ID_MASSA]],tbl_de_massas[id_massa],tbl_de_massas[nome_completo],"--",0,1)</f>
        <v>Noura Al-Saud</v>
      </c>
      <c r="E106" t="str">
        <f>_xlfn.XLOOKUP(TBL_USUARIOS[[#This Row],[ID_MASSA]],tbl_de_massas[id_massa],tbl_de_massas[cartao_fisico_numero],"--",0,1)</f>
        <v>4576 7460 9102 4721</v>
      </c>
      <c r="F106" t="str">
        <f>_xlfn.XLOOKUP(TBL_USUARIOS[[#This Row],[ID_MASSA]],tbl_de_massas[id_massa],tbl_de_massas[cartao_fisico_cvv],"--",0,1)</f>
        <v>333</v>
      </c>
      <c r="G106" t="str">
        <f>_xlfn.XLOOKUP(TBL_USUARIOS[[#This Row],[ID_MASSA]],tbl_de_massas[id_massa],tbl_de_massas[cartao_virtual_numero],"--",0,1)</f>
        <v/>
      </c>
      <c r="H106">
        <f>_xlfn.XLOOKUP(TBL_USUARIOS[[#This Row],[ID_MASSA]],tbl_de_massas[id_massa],tbl_de_massas[cartao_virtual_cvv],"--",0,1)</f>
        <v>0</v>
      </c>
    </row>
    <row r="107" spans="1:8" x14ac:dyDescent="0.25">
      <c r="A107" s="2" t="s">
        <v>2132</v>
      </c>
      <c r="B107" s="14" t="str">
        <f>_xlfn.XLOOKUP(TBL_USUARIOS[[#This Row],[ID_MASSA]],tbl_de_massas[id_massa],tbl_de_massas[cpf],"--",0,1)</f>
        <v>80535757654</v>
      </c>
      <c r="C107" t="s">
        <v>2369</v>
      </c>
      <c r="D107" t="str">
        <f>_xlfn.XLOOKUP(TBL_USUARIOS[[#This Row],[ID_MASSA]],tbl_de_massas[id_massa],tbl_de_massas[nome_completo],"--",0,1)</f>
        <v>Lucas Laurent</v>
      </c>
      <c r="E107" t="str">
        <f>_xlfn.XLOOKUP(TBL_USUARIOS[[#This Row],[ID_MASSA]],tbl_de_massas[id_massa],tbl_de_massas[cartao_fisico_numero],"--",0,1)</f>
        <v>6062 8200 7609 3088</v>
      </c>
      <c r="F107" t="str">
        <f>_xlfn.XLOOKUP(TBL_USUARIOS[[#This Row],[ID_MASSA]],tbl_de_massas[id_massa],tbl_de_massas[cartao_fisico_cvv],"--",0,1)</f>
        <v>333</v>
      </c>
      <c r="G107" t="str">
        <f>_xlfn.XLOOKUP(TBL_USUARIOS[[#This Row],[ID_MASSA]],tbl_de_massas[id_massa],tbl_de_massas[cartao_virtual_numero],"--",0,1)</f>
        <v/>
      </c>
      <c r="H107">
        <f>_xlfn.XLOOKUP(TBL_USUARIOS[[#This Row],[ID_MASSA]],tbl_de_massas[id_massa],tbl_de_massas[cartao_virtual_cvv],"--",0,1)</f>
        <v>0</v>
      </c>
    </row>
    <row r="108" spans="1:8" x14ac:dyDescent="0.25">
      <c r="A108" s="2" t="s">
        <v>2133</v>
      </c>
      <c r="B108" s="14" t="str">
        <f>_xlfn.XLOOKUP(TBL_USUARIOS[[#This Row],[ID_MASSA]],tbl_de_massas[id_massa],tbl_de_massas[cpf],"--",0,1)</f>
        <v>93544490340</v>
      </c>
      <c r="C108" t="s">
        <v>2370</v>
      </c>
      <c r="D108" t="str">
        <f>_xlfn.XLOOKUP(TBL_USUARIOS[[#This Row],[ID_MASSA]],tbl_de_massas[id_massa],tbl_de_massas[nome_completo],"--",0,1)</f>
        <v>Haewon Jung</v>
      </c>
      <c r="E108" t="str">
        <f>_xlfn.XLOOKUP(TBL_USUARIOS[[#This Row],[ID_MASSA]],tbl_de_massas[id_massa],tbl_de_massas[cartao_fisico_numero],"--",0,1)</f>
        <v>6505 0666 1667 2851</v>
      </c>
      <c r="F108" t="str">
        <f>_xlfn.XLOOKUP(TBL_USUARIOS[[#This Row],[ID_MASSA]],tbl_de_massas[id_massa],tbl_de_massas[cartao_fisico_cvv],"--",0,1)</f>
        <v>333</v>
      </c>
      <c r="G108" t="str">
        <f>_xlfn.XLOOKUP(TBL_USUARIOS[[#This Row],[ID_MASSA]],tbl_de_massas[id_massa],tbl_de_massas[cartao_virtual_numero],"--",0,1)</f>
        <v/>
      </c>
      <c r="H108">
        <f>_xlfn.XLOOKUP(TBL_USUARIOS[[#This Row],[ID_MASSA]],tbl_de_massas[id_massa],tbl_de_massas[cartao_virtual_cvv],"--",0,1)</f>
        <v>0</v>
      </c>
    </row>
    <row r="109" spans="1:8" x14ac:dyDescent="0.25">
      <c r="A109" s="2" t="s">
        <v>2134</v>
      </c>
      <c r="B109" s="14" t="str">
        <f>_xlfn.XLOOKUP(TBL_USUARIOS[[#This Row],[ID_MASSA]],tbl_de_massas[id_massa],tbl_de_massas[cpf],"--",0,1)</f>
        <v>41649264658</v>
      </c>
      <c r="C109" t="s">
        <v>2371</v>
      </c>
      <c r="D109" t="str">
        <f>_xlfn.XLOOKUP(TBL_USUARIOS[[#This Row],[ID_MASSA]],tbl_de_massas[id_massa],tbl_de_massas[nome_completo],"--",0,1)</f>
        <v>Ren Ito</v>
      </c>
      <c r="E109" t="str">
        <f>_xlfn.XLOOKUP(TBL_USUARIOS[[#This Row],[ID_MASSA]],tbl_de_massas[id_massa],tbl_de_massas[cartao_fisico_numero],"--",0,1)</f>
        <v>6505 0666 7023 0156</v>
      </c>
      <c r="F109" t="str">
        <f>_xlfn.XLOOKUP(TBL_USUARIOS[[#This Row],[ID_MASSA]],tbl_de_massas[id_massa],tbl_de_massas[cartao_fisico_cvv],"--",0,1)</f>
        <v>333</v>
      </c>
      <c r="G109" t="str">
        <f>_xlfn.XLOOKUP(TBL_USUARIOS[[#This Row],[ID_MASSA]],tbl_de_massas[id_massa],tbl_de_massas[cartao_virtual_numero],"--",0,1)</f>
        <v/>
      </c>
      <c r="H109">
        <f>_xlfn.XLOOKUP(TBL_USUARIOS[[#This Row],[ID_MASSA]],tbl_de_massas[id_massa],tbl_de_massas[cartao_virtual_cvv],"--",0,1)</f>
        <v>0</v>
      </c>
    </row>
    <row r="110" spans="1:8" x14ac:dyDescent="0.25">
      <c r="A110" s="2" t="s">
        <v>2135</v>
      </c>
      <c r="B110" s="14" t="str">
        <f>_xlfn.XLOOKUP(TBL_USUARIOS[[#This Row],[ID_MASSA]],tbl_de_massas[id_massa],tbl_de_massas[cpf],"--",0,1)</f>
        <v>68737946439</v>
      </c>
      <c r="C110" t="s">
        <v>2372</v>
      </c>
      <c r="D110" t="str">
        <f>_xlfn.XLOOKUP(TBL_USUARIOS[[#This Row],[ID_MASSA]],tbl_de_massas[id_massa],tbl_de_massas[nome_completo],"--",0,1)</f>
        <v>Khalid Al-Zahrani</v>
      </c>
      <c r="E110" t="str">
        <f>_xlfn.XLOOKUP(TBL_USUARIOS[[#This Row],[ID_MASSA]],tbl_de_massas[id_massa],tbl_de_massas[cartao_fisico_numero],"--",0,1)</f>
        <v>3782 490279 9866</v>
      </c>
      <c r="F110" t="str">
        <f>_xlfn.XLOOKUP(TBL_USUARIOS[[#This Row],[ID_MASSA]],tbl_de_massas[id_massa],tbl_de_massas[cartao_fisico_cvv],"--",0,1)</f>
        <v>8821</v>
      </c>
      <c r="G110" t="str">
        <f>_xlfn.XLOOKUP(TBL_USUARIOS[[#This Row],[ID_MASSA]],tbl_de_massas[id_massa],tbl_de_massas[cartao_virtual_numero],"--",0,1)</f>
        <v/>
      </c>
      <c r="H110">
        <f>_xlfn.XLOOKUP(TBL_USUARIOS[[#This Row],[ID_MASSA]],tbl_de_massas[id_massa],tbl_de_massas[cartao_virtual_cvv],"--",0,1)</f>
        <v>0</v>
      </c>
    </row>
    <row r="111" spans="1:8" x14ac:dyDescent="0.25">
      <c r="A111" s="2" t="s">
        <v>2136</v>
      </c>
      <c r="B111" s="14" t="str">
        <f>_xlfn.XLOOKUP(TBL_USUARIOS[[#This Row],[ID_MASSA]],tbl_de_massas[id_massa],tbl_de_massas[cpf],"--",0,1)</f>
        <v>15351515369</v>
      </c>
      <c r="C111" t="s">
        <v>2373</v>
      </c>
      <c r="D111" t="str">
        <f>_xlfn.XLOOKUP(TBL_USUARIOS[[#This Row],[ID_MASSA]],tbl_de_massas[id_massa],tbl_de_massas[nome_completo],"--",0,1)</f>
        <v>Fatima Al-Harbi</v>
      </c>
      <c r="E111" t="str">
        <f>_xlfn.XLOOKUP(TBL_USUARIOS[[#This Row],[ID_MASSA]],tbl_de_massas[id_massa],tbl_de_massas[cartao_fisico_numero],"--",0,1)</f>
        <v>6505 0666 9490 5042</v>
      </c>
      <c r="F111" t="str">
        <f>_xlfn.XLOOKUP(TBL_USUARIOS[[#This Row],[ID_MASSA]],tbl_de_massas[id_massa],tbl_de_massas[cartao_fisico_cvv],"--",0,1)</f>
        <v>333</v>
      </c>
      <c r="G111" t="str">
        <f>_xlfn.XLOOKUP(TBL_USUARIOS[[#This Row],[ID_MASSA]],tbl_de_massas[id_massa],tbl_de_massas[cartao_virtual_numero],"--",0,1)</f>
        <v/>
      </c>
      <c r="H111">
        <f>_xlfn.XLOOKUP(TBL_USUARIOS[[#This Row],[ID_MASSA]],tbl_de_massas[id_massa],tbl_de_massas[cartao_virtual_cvv],"--",0,1)</f>
        <v>0</v>
      </c>
    </row>
    <row r="112" spans="1:8" x14ac:dyDescent="0.25">
      <c r="A112" s="2" t="s">
        <v>2137</v>
      </c>
      <c r="B112" s="14" t="str">
        <f>_xlfn.XLOOKUP(TBL_USUARIOS[[#This Row],[ID_MASSA]],tbl_de_massas[id_massa],tbl_de_massas[cpf],"--",0,1)</f>
        <v>51742065392</v>
      </c>
      <c r="C112" t="s">
        <v>2374</v>
      </c>
      <c r="D112" t="str">
        <f>_xlfn.XLOOKUP(TBL_USUARIOS[[#This Row],[ID_MASSA]],tbl_de_massas[id_massa],tbl_de_massas[nome_completo],"--",0,1)</f>
        <v>Taro Tanaka</v>
      </c>
      <c r="E112" t="str">
        <f>_xlfn.XLOOKUP(TBL_USUARIOS[[#This Row],[ID_MASSA]],tbl_de_massas[id_massa],tbl_de_massas[cartao_fisico_numero],"--",0,1)</f>
        <v>4576 7460 9383 4990</v>
      </c>
      <c r="F112" t="str">
        <f>_xlfn.XLOOKUP(TBL_USUARIOS[[#This Row],[ID_MASSA]],tbl_de_massas[id_massa],tbl_de_massas[cartao_fisico_cvv],"--",0,1)</f>
        <v>333</v>
      </c>
      <c r="G112" t="str">
        <f>_xlfn.XLOOKUP(TBL_USUARIOS[[#This Row],[ID_MASSA]],tbl_de_massas[id_massa],tbl_de_massas[cartao_virtual_numero],"--",0,1)</f>
        <v/>
      </c>
      <c r="H112">
        <f>_xlfn.XLOOKUP(TBL_USUARIOS[[#This Row],[ID_MASSA]],tbl_de_massas[id_massa],tbl_de_massas[cartao_virtual_cvv],"--",0,1)</f>
        <v>0</v>
      </c>
    </row>
    <row r="113" spans="1:8" x14ac:dyDescent="0.25">
      <c r="A113" s="2" t="s">
        <v>2138</v>
      </c>
      <c r="B113" s="14" t="str">
        <f>_xlfn.XLOOKUP(TBL_USUARIOS[[#This Row],[ID_MASSA]],tbl_de_massas[id_massa],tbl_de_massas[cpf],"--",0,1)</f>
        <v>21005484686</v>
      </c>
      <c r="C113" t="s">
        <v>2375</v>
      </c>
      <c r="D113" t="str">
        <f>_xlfn.XLOOKUP(TBL_USUARIOS[[#This Row],[ID_MASSA]],tbl_de_massas[id_massa],tbl_de_massas[nome_completo],"--",0,1)</f>
        <v>Boniface Gauthier</v>
      </c>
      <c r="E113" t="str">
        <f>_xlfn.XLOOKUP(TBL_USUARIOS[[#This Row],[ID_MASSA]],tbl_de_massas[id_massa],tbl_de_massas[cartao_fisico_numero],"--",0,1)</f>
        <v>5364 2660 6627 9262</v>
      </c>
      <c r="F113" t="str">
        <f>_xlfn.XLOOKUP(TBL_USUARIOS[[#This Row],[ID_MASSA]],tbl_de_massas[id_massa],tbl_de_massas[cartao_fisico_cvv],"--",0,1)</f>
        <v>686</v>
      </c>
      <c r="G113" t="str">
        <f>_xlfn.XLOOKUP(TBL_USUARIOS[[#This Row],[ID_MASSA]],tbl_de_massas[id_massa],tbl_de_massas[cartao_virtual_numero],"--",0,1)</f>
        <v/>
      </c>
      <c r="H113">
        <f>_xlfn.XLOOKUP(TBL_USUARIOS[[#This Row],[ID_MASSA]],tbl_de_massas[id_massa],tbl_de_massas[cartao_virtual_cvv],"--",0,1)</f>
        <v>0</v>
      </c>
    </row>
    <row r="114" spans="1:8" x14ac:dyDescent="0.25">
      <c r="A114" s="2" t="s">
        <v>2139</v>
      </c>
      <c r="B114" s="14" t="str">
        <f>_xlfn.XLOOKUP(TBL_USUARIOS[[#This Row],[ID_MASSA]],tbl_de_massas[id_massa],tbl_de_massas[cpf],"--",0,1)</f>
        <v>58628880208</v>
      </c>
      <c r="C114" t="s">
        <v>2376</v>
      </c>
      <c r="D114" t="str">
        <f>_xlfn.XLOOKUP(TBL_USUARIOS[[#This Row],[ID_MASSA]],tbl_de_massas[id_massa],tbl_de_massas[nome_completo],"--",0,1)</f>
        <v>Morgan Poirier</v>
      </c>
      <c r="E114" t="str">
        <f>_xlfn.XLOOKUP(TBL_USUARIOS[[#This Row],[ID_MASSA]],tbl_de_massas[id_massa],tbl_de_massas[cartao_fisico_numero],"--",0,1)</f>
        <v>5442 7460 3696 2770</v>
      </c>
      <c r="F114" t="str">
        <f>_xlfn.XLOOKUP(TBL_USUARIOS[[#This Row],[ID_MASSA]],tbl_de_massas[id_massa],tbl_de_massas[cartao_fisico_cvv],"--",0,1)</f>
        <v>208</v>
      </c>
      <c r="G114" t="str">
        <f>_xlfn.XLOOKUP(TBL_USUARIOS[[#This Row],[ID_MASSA]],tbl_de_massas[id_massa],tbl_de_massas[cartao_virtual_numero],"--",0,1)</f>
        <v/>
      </c>
      <c r="H114">
        <f>_xlfn.XLOOKUP(TBL_USUARIOS[[#This Row],[ID_MASSA]],tbl_de_massas[id_massa],tbl_de_massas[cartao_virtual_cvv],"--",0,1)</f>
        <v>0</v>
      </c>
    </row>
    <row r="115" spans="1:8" x14ac:dyDescent="0.25">
      <c r="A115" s="2" t="s">
        <v>2140</v>
      </c>
      <c r="B115" s="14" t="str">
        <f>_xlfn.XLOOKUP(TBL_USUARIOS[[#This Row],[ID_MASSA]],tbl_de_massas[id_massa],tbl_de_massas[cpf],"--",0,1)</f>
        <v>83052128400</v>
      </c>
      <c r="C115" t="s">
        <v>2377</v>
      </c>
      <c r="D115" t="str">
        <f>_xlfn.XLOOKUP(TBL_USUARIOS[[#This Row],[ID_MASSA]],tbl_de_massas[id_massa],tbl_de_massas[nome_completo],"--",0,1)</f>
        <v>Adalard Rodriguez</v>
      </c>
      <c r="E115" t="str">
        <f>_xlfn.XLOOKUP(TBL_USUARIOS[[#This Row],[ID_MASSA]],tbl_de_massas[id_massa],tbl_de_massas[cartao_fisico_numero],"--",0,1)</f>
        <v>5442 7460 0864 4232</v>
      </c>
      <c r="F115" t="str">
        <f>_xlfn.XLOOKUP(TBL_USUARIOS[[#This Row],[ID_MASSA]],tbl_de_massas[id_massa],tbl_de_massas[cartao_fisico_cvv],"--",0,1)</f>
        <v>400</v>
      </c>
      <c r="G115" t="str">
        <f>_xlfn.XLOOKUP(TBL_USUARIOS[[#This Row],[ID_MASSA]],tbl_de_massas[id_massa],tbl_de_massas[cartao_virtual_numero],"--",0,1)</f>
        <v/>
      </c>
      <c r="H115">
        <f>_xlfn.XLOOKUP(TBL_USUARIOS[[#This Row],[ID_MASSA]],tbl_de_massas[id_massa],tbl_de_massas[cartao_virtual_cvv],"--",0,1)</f>
        <v>0</v>
      </c>
    </row>
    <row r="116" spans="1:8" x14ac:dyDescent="0.25">
      <c r="A116" s="2" t="s">
        <v>2141</v>
      </c>
      <c r="B116" s="14" t="str">
        <f>_xlfn.XLOOKUP(TBL_USUARIOS[[#This Row],[ID_MASSA]],tbl_de_massas[id_massa],tbl_de_massas[cpf],"--",0,1)</f>
        <v>89331225245</v>
      </c>
      <c r="C116" t="s">
        <v>2378</v>
      </c>
      <c r="D116" t="str">
        <f>_xlfn.XLOOKUP(TBL_USUARIOS[[#This Row],[ID_MASSA]],tbl_de_massas[id_massa],tbl_de_massas[nome_completo],"--",0,1)</f>
        <v>Aoi Yamamoto</v>
      </c>
      <c r="E116" t="str">
        <f>_xlfn.XLOOKUP(TBL_USUARIOS[[#This Row],[ID_MASSA]],tbl_de_massas[id_massa],tbl_de_massas[cartao_fisico_numero],"--",0,1)</f>
        <v>6505 0666 4055 1682</v>
      </c>
      <c r="F116" t="str">
        <f>_xlfn.XLOOKUP(TBL_USUARIOS[[#This Row],[ID_MASSA]],tbl_de_massas[id_massa],tbl_de_massas[cartao_fisico_cvv],"--",0,1)</f>
        <v>333</v>
      </c>
      <c r="G116" t="str">
        <f>_xlfn.XLOOKUP(TBL_USUARIOS[[#This Row],[ID_MASSA]],tbl_de_massas[id_massa],tbl_de_massas[cartao_virtual_numero],"--",0,1)</f>
        <v/>
      </c>
      <c r="H116">
        <f>_xlfn.XLOOKUP(TBL_USUARIOS[[#This Row],[ID_MASSA]],tbl_de_massas[id_massa],tbl_de_massas[cartao_virtual_cvv],"--",0,1)</f>
        <v>0</v>
      </c>
    </row>
    <row r="117" spans="1:8" x14ac:dyDescent="0.25">
      <c r="A117" s="2" t="s">
        <v>2142</v>
      </c>
      <c r="B117" s="14" t="str">
        <f>_xlfn.XLOOKUP(TBL_USUARIOS[[#This Row],[ID_MASSA]],tbl_de_massas[id_massa],tbl_de_massas[cpf],"--",0,1)</f>
        <v>77148062578</v>
      </c>
      <c r="C117" t="s">
        <v>2379</v>
      </c>
      <c r="D117" t="str">
        <f>_xlfn.XLOOKUP(TBL_USUARIOS[[#This Row],[ID_MASSA]],tbl_de_massas[id_massa],tbl_de_massas[nome_completo],"--",0,1)</f>
        <v>Yuki Takahashi</v>
      </c>
      <c r="E117" t="str">
        <f>_xlfn.XLOOKUP(TBL_USUARIOS[[#This Row],[ID_MASSA]],tbl_de_massas[id_massa],tbl_de_massas[cartao_fisico_numero],"--",0,1)</f>
        <v>6062 8200 9857 5516</v>
      </c>
      <c r="F117" t="str">
        <f>_xlfn.XLOOKUP(TBL_USUARIOS[[#This Row],[ID_MASSA]],tbl_de_massas[id_massa],tbl_de_massas[cartao_fisico_cvv],"--",0,1)</f>
        <v>333</v>
      </c>
      <c r="G117" t="str">
        <f>_xlfn.XLOOKUP(TBL_USUARIOS[[#This Row],[ID_MASSA]],tbl_de_massas[id_massa],tbl_de_massas[cartao_virtual_numero],"--",0,1)</f>
        <v/>
      </c>
      <c r="H117">
        <f>_xlfn.XLOOKUP(TBL_USUARIOS[[#This Row],[ID_MASSA]],tbl_de_massas[id_massa],tbl_de_massas[cartao_virtual_cvv],"--",0,1)</f>
        <v>0</v>
      </c>
    </row>
    <row r="118" spans="1:8" x14ac:dyDescent="0.25">
      <c r="A118" s="2" t="s">
        <v>2143</v>
      </c>
      <c r="B118" s="14" t="str">
        <f>_xlfn.XLOOKUP(TBL_USUARIOS[[#This Row],[ID_MASSA]],tbl_de_massas[id_massa],tbl_de_massas[cpf],"--",0,1)</f>
        <v>74929424194</v>
      </c>
      <c r="C118" t="s">
        <v>2380</v>
      </c>
      <c r="D118" t="str">
        <f>_xlfn.XLOOKUP(TBL_USUARIOS[[#This Row],[ID_MASSA]],tbl_de_massas[id_massa],tbl_de_massas[nome_completo],"--",0,1)</f>
        <v>Giulia Russo</v>
      </c>
      <c r="E118" t="str">
        <f>_xlfn.XLOOKUP(TBL_USUARIOS[[#This Row],[ID_MASSA]],tbl_de_massas[id_massa],tbl_de_massas[cartao_fisico_numero],"--",0,1)</f>
        <v>4576 7460 6011 1623</v>
      </c>
      <c r="F118" t="str">
        <f>_xlfn.XLOOKUP(TBL_USUARIOS[[#This Row],[ID_MASSA]],tbl_de_massas[id_massa],tbl_de_massas[cartao_fisico_cvv],"--",0,1)</f>
        <v>333</v>
      </c>
      <c r="G118" t="str">
        <f>_xlfn.XLOOKUP(TBL_USUARIOS[[#This Row],[ID_MASSA]],tbl_de_massas[id_massa],tbl_de_massas[cartao_virtual_numero],"--",0,1)</f>
        <v/>
      </c>
      <c r="H118">
        <f>_xlfn.XLOOKUP(TBL_USUARIOS[[#This Row],[ID_MASSA]],tbl_de_massas[id_massa],tbl_de_massas[cartao_virtual_cvv],"--",0,1)</f>
        <v>0</v>
      </c>
    </row>
    <row r="119" spans="1:8" x14ac:dyDescent="0.25">
      <c r="A119" s="2" t="s">
        <v>2144</v>
      </c>
      <c r="B119" s="14" t="str">
        <f>_xlfn.XLOOKUP(TBL_USUARIOS[[#This Row],[ID_MASSA]],tbl_de_massas[id_massa],tbl_de_massas[cpf],"--",0,1)</f>
        <v>76782744325</v>
      </c>
      <c r="C119" t="s">
        <v>2381</v>
      </c>
      <c r="D119" t="str">
        <f>_xlfn.XLOOKUP(TBL_USUARIOS[[#This Row],[ID_MASSA]],tbl_de_massas[id_massa],tbl_de_massas[nome_completo],"--",0,1)</f>
        <v>Hanako Watanabe</v>
      </c>
      <c r="E119" t="str">
        <f>_xlfn.XLOOKUP(TBL_USUARIOS[[#This Row],[ID_MASSA]],tbl_de_massas[id_massa],tbl_de_massas[cartao_fisico_numero],"--",0,1)</f>
        <v>4576 7460 3895 6613</v>
      </c>
      <c r="F119" t="str">
        <f>_xlfn.XLOOKUP(TBL_USUARIOS[[#This Row],[ID_MASSA]],tbl_de_massas[id_massa],tbl_de_massas[cartao_fisico_cvv],"--",0,1)</f>
        <v>333</v>
      </c>
      <c r="G119" t="str">
        <f>_xlfn.XLOOKUP(TBL_USUARIOS[[#This Row],[ID_MASSA]],tbl_de_massas[id_massa],tbl_de_massas[cartao_virtual_numero],"--",0,1)</f>
        <v/>
      </c>
      <c r="H119">
        <f>_xlfn.XLOOKUP(TBL_USUARIOS[[#This Row],[ID_MASSA]],tbl_de_massas[id_massa],tbl_de_massas[cartao_virtual_cvv],"--",0,1)</f>
        <v>0</v>
      </c>
    </row>
    <row r="120" spans="1:8" x14ac:dyDescent="0.25">
      <c r="A120" s="2" t="s">
        <v>2145</v>
      </c>
      <c r="B120" s="14" t="str">
        <f>_xlfn.XLOOKUP(TBL_USUARIOS[[#This Row],[ID_MASSA]],tbl_de_massas[id_massa],tbl_de_massas[cpf],"--",0,1)</f>
        <v>95167270006</v>
      </c>
      <c r="C120" t="s">
        <v>2382</v>
      </c>
      <c r="D120" t="str">
        <f>_xlfn.XLOOKUP(TBL_USUARIOS[[#This Row],[ID_MASSA]],tbl_de_massas[id_massa],tbl_de_massas[nome_completo],"--",0,1)</f>
        <v>Hannah Fischer</v>
      </c>
      <c r="E120" t="str">
        <f>_xlfn.XLOOKUP(TBL_USUARIOS[[#This Row],[ID_MASSA]],tbl_de_massas[id_massa],tbl_de_massas[cartao_fisico_numero],"--",0,1)</f>
        <v>5442 7460 5925 5475</v>
      </c>
      <c r="F120" t="str">
        <f>_xlfn.XLOOKUP(TBL_USUARIOS[[#This Row],[ID_MASSA]],tbl_de_massas[id_massa],tbl_de_massas[cartao_fisico_cvv],"--",0,1)</f>
        <v>333</v>
      </c>
      <c r="G120" t="str">
        <f>_xlfn.XLOOKUP(TBL_USUARIOS[[#This Row],[ID_MASSA]],tbl_de_massas[id_massa],tbl_de_massas[cartao_virtual_numero],"--",0,1)</f>
        <v/>
      </c>
      <c r="H120">
        <f>_xlfn.XLOOKUP(TBL_USUARIOS[[#This Row],[ID_MASSA]],tbl_de_massas[id_massa],tbl_de_massas[cartao_virtual_cvv],"--",0,1)</f>
        <v>0</v>
      </c>
    </row>
    <row r="121" spans="1:8" x14ac:dyDescent="0.25">
      <c r="A121" s="2" t="s">
        <v>2146</v>
      </c>
      <c r="B121" s="14" t="str">
        <f>_xlfn.XLOOKUP(TBL_USUARIOS[[#This Row],[ID_MASSA]],tbl_de_massas[id_massa],tbl_de_massas[cpf],"--",0,1)</f>
        <v>37107075012</v>
      </c>
      <c r="C121" t="s">
        <v>2383</v>
      </c>
      <c r="D121" t="str">
        <f>_xlfn.XLOOKUP(TBL_USUARIOS[[#This Row],[ID_MASSA]],tbl_de_massas[id_massa],tbl_de_massas[nome_completo],"--",0,1)</f>
        <v>Minjun Kim</v>
      </c>
      <c r="E121" t="str">
        <f>_xlfn.XLOOKUP(TBL_USUARIOS[[#This Row],[ID_MASSA]],tbl_de_massas[id_massa],tbl_de_massas[cartao_fisico_numero],"--",0,1)</f>
        <v>6505 0666 2639 6273</v>
      </c>
      <c r="F121" t="str">
        <f>_xlfn.XLOOKUP(TBL_USUARIOS[[#This Row],[ID_MASSA]],tbl_de_massas[id_massa],tbl_de_massas[cartao_fisico_cvv],"--",0,1)</f>
        <v>333</v>
      </c>
      <c r="G121" t="str">
        <f>_xlfn.XLOOKUP(TBL_USUARIOS[[#This Row],[ID_MASSA]],tbl_de_massas[id_massa],tbl_de_massas[cartao_virtual_numero],"--",0,1)</f>
        <v/>
      </c>
      <c r="H121">
        <f>_xlfn.XLOOKUP(TBL_USUARIOS[[#This Row],[ID_MASSA]],tbl_de_massas[id_massa],tbl_de_massas[cartao_virtual_cvv],"--",0,1)</f>
        <v>0</v>
      </c>
    </row>
    <row r="122" spans="1:8" x14ac:dyDescent="0.25">
      <c r="A122" s="2" t="s">
        <v>2147</v>
      </c>
      <c r="B122" s="14" t="str">
        <f>_xlfn.XLOOKUP(TBL_USUARIOS[[#This Row],[ID_MASSA]],tbl_de_massas[id_massa],tbl_de_massas[cpf],"--",0,1)</f>
        <v>12558823280</v>
      </c>
      <c r="C122" t="s">
        <v>2384</v>
      </c>
      <c r="D122" t="str">
        <f>_xlfn.XLOOKUP(TBL_USUARIOS[[#This Row],[ID_MASSA]],tbl_de_massas[id_massa],tbl_de_massas[nome_completo],"--",0,1)</f>
        <v>Tariq Al-Mansoor</v>
      </c>
      <c r="E122" t="str">
        <f>_xlfn.XLOOKUP(TBL_USUARIOS[[#This Row],[ID_MASSA]],tbl_de_massas[id_massa],tbl_de_massas[cartao_fisico_numero],"--",0,1)</f>
        <v>4576 7460 7292 2294</v>
      </c>
      <c r="F122" t="str">
        <f>_xlfn.XLOOKUP(TBL_USUARIOS[[#This Row],[ID_MASSA]],tbl_de_massas[id_massa],tbl_de_massas[cartao_fisico_cvv],"--",0,1)</f>
        <v>333</v>
      </c>
      <c r="G122" t="str">
        <f>_xlfn.XLOOKUP(TBL_USUARIOS[[#This Row],[ID_MASSA]],tbl_de_massas[id_massa],tbl_de_massas[cartao_virtual_numero],"--",0,1)</f>
        <v/>
      </c>
      <c r="H122">
        <f>_xlfn.XLOOKUP(TBL_USUARIOS[[#This Row],[ID_MASSA]],tbl_de_massas[id_massa],tbl_de_massas[cartao_virtual_cvv],"--",0,1)</f>
        <v>0</v>
      </c>
    </row>
    <row r="123" spans="1:8" x14ac:dyDescent="0.25">
      <c r="A123" s="2" t="s">
        <v>2148</v>
      </c>
      <c r="B123" s="14" t="str">
        <f>_xlfn.XLOOKUP(TBL_USUARIOS[[#This Row],[ID_MASSA]],tbl_de_massas[id_massa],tbl_de_massas[cpf],"--",0,1)</f>
        <v>17058588562</v>
      </c>
      <c r="C123" t="s">
        <v>2385</v>
      </c>
      <c r="D123" t="str">
        <f>_xlfn.XLOOKUP(TBL_USUARIOS[[#This Row],[ID_MASSA]],tbl_de_massas[id_massa],tbl_de_massas[nome_completo],"--",0,1)</f>
        <v>Lukas Schneider</v>
      </c>
      <c r="E123" t="str">
        <f>_xlfn.XLOOKUP(TBL_USUARIOS[[#This Row],[ID_MASSA]],tbl_de_massas[id_massa],tbl_de_massas[cartao_fisico_numero],"--",0,1)</f>
        <v>6062 8200 3014 7312</v>
      </c>
      <c r="F123" t="str">
        <f>_xlfn.XLOOKUP(TBL_USUARIOS[[#This Row],[ID_MASSA]],tbl_de_massas[id_massa],tbl_de_massas[cartao_fisico_cvv],"--",0,1)</f>
        <v>333</v>
      </c>
      <c r="G123" t="str">
        <f>_xlfn.XLOOKUP(TBL_USUARIOS[[#This Row],[ID_MASSA]],tbl_de_massas[id_massa],tbl_de_massas[cartao_virtual_numero],"--",0,1)</f>
        <v/>
      </c>
      <c r="H123">
        <f>_xlfn.XLOOKUP(TBL_USUARIOS[[#This Row],[ID_MASSA]],tbl_de_massas[id_massa],tbl_de_massas[cartao_virtual_cvv],"--",0,1)</f>
        <v>0</v>
      </c>
    </row>
    <row r="124" spans="1:8" x14ac:dyDescent="0.25">
      <c r="A124" s="2" t="s">
        <v>2149</v>
      </c>
      <c r="B124" s="14" t="str">
        <f>_xlfn.XLOOKUP(TBL_USUARIOS[[#This Row],[ID_MASSA]],tbl_de_massas[id_massa],tbl_de_massas[cpf],"--",0,1)</f>
        <v>73857513853</v>
      </c>
      <c r="C124" t="s">
        <v>2386</v>
      </c>
      <c r="D124" t="str">
        <f>_xlfn.XLOOKUP(TBL_USUARIOS[[#This Row],[ID_MASSA]],tbl_de_massas[id_massa],tbl_de_massas[nome_completo],"--",0,1)</f>
        <v>Ines Oliveira</v>
      </c>
      <c r="E124" t="str">
        <f>_xlfn.XLOOKUP(TBL_USUARIOS[[#This Row],[ID_MASSA]],tbl_de_massas[id_massa],tbl_de_massas[cartao_fisico_numero],"--",0,1)</f>
        <v>4576 7460 6790 3682</v>
      </c>
      <c r="F124" t="str">
        <f>_xlfn.XLOOKUP(TBL_USUARIOS[[#This Row],[ID_MASSA]],tbl_de_massas[id_massa],tbl_de_massas[cartao_fisico_cvv],"--",0,1)</f>
        <v>333</v>
      </c>
      <c r="G124" t="str">
        <f>_xlfn.XLOOKUP(TBL_USUARIOS[[#This Row],[ID_MASSA]],tbl_de_massas[id_massa],tbl_de_massas[cartao_virtual_numero],"--",0,1)</f>
        <v/>
      </c>
      <c r="H124">
        <f>_xlfn.XLOOKUP(TBL_USUARIOS[[#This Row],[ID_MASSA]],tbl_de_massas[id_massa],tbl_de_massas[cartao_virtual_cvv],"--",0,1)</f>
        <v>0</v>
      </c>
    </row>
    <row r="125" spans="1:8" x14ac:dyDescent="0.25">
      <c r="A125" s="2" t="s">
        <v>2150</v>
      </c>
      <c r="B125" s="14" t="str">
        <f>_xlfn.XLOOKUP(TBL_USUARIOS[[#This Row],[ID_MASSA]],tbl_de_massas[id_massa],tbl_de_massas[cpf],"--",0,1)</f>
        <v>36072364535</v>
      </c>
      <c r="C125" t="s">
        <v>2387</v>
      </c>
      <c r="D125" t="str">
        <f>_xlfn.XLOOKUP(TBL_USUARIOS[[#This Row],[ID_MASSA]],tbl_de_massas[id_massa],tbl_de_massas[nome_completo],"--",0,1)</f>
        <v>Alessandro Ferrari</v>
      </c>
      <c r="E125" t="str">
        <f>_xlfn.XLOOKUP(TBL_USUARIOS[[#This Row],[ID_MASSA]],tbl_de_massas[id_massa],tbl_de_massas[cartao_fisico_numero],"--",0,1)</f>
        <v>5442 7460 2038 8294</v>
      </c>
      <c r="F125" t="str">
        <f>_xlfn.XLOOKUP(TBL_USUARIOS[[#This Row],[ID_MASSA]],tbl_de_massas[id_massa],tbl_de_massas[cartao_fisico_cvv],"--",0,1)</f>
        <v>333</v>
      </c>
      <c r="G125" t="str">
        <f>_xlfn.XLOOKUP(TBL_USUARIOS[[#This Row],[ID_MASSA]],tbl_de_massas[id_massa],tbl_de_massas[cartao_virtual_numero],"--",0,1)</f>
        <v/>
      </c>
      <c r="H125">
        <f>_xlfn.XLOOKUP(TBL_USUARIOS[[#This Row],[ID_MASSA]],tbl_de_massas[id_massa],tbl_de_massas[cartao_virtual_cvv],"--",0,1)</f>
        <v>0</v>
      </c>
    </row>
    <row r="126" spans="1:8" x14ac:dyDescent="0.25">
      <c r="A126" s="2" t="s">
        <v>2151</v>
      </c>
      <c r="B126" s="14" t="str">
        <f>_xlfn.XLOOKUP(TBL_USUARIOS[[#This Row],[ID_MASSA]],tbl_de_massas[id_massa],tbl_de_massas[cpf],"--",0,1)</f>
        <v>29910306743</v>
      </c>
      <c r="C126" t="s">
        <v>2388</v>
      </c>
      <c r="D126" t="str">
        <f>_xlfn.XLOOKUP(TBL_USUARIOS[[#This Row],[ID_MASSA]],tbl_de_massas[id_massa],tbl_de_massas[nome_completo],"--",0,1)</f>
        <v>William Robert Miller</v>
      </c>
      <c r="E126" t="str">
        <f>_xlfn.XLOOKUP(TBL_USUARIOS[[#This Row],[ID_MASSA]],tbl_de_massas[id_massa],tbl_de_massas[cartao_fisico_numero],"--",0,1)</f>
        <v>6505 0666 6048 3970</v>
      </c>
      <c r="F126" t="str">
        <f>_xlfn.XLOOKUP(TBL_USUARIOS[[#This Row],[ID_MASSA]],tbl_de_massas[id_massa],tbl_de_massas[cartao_fisico_cvv],"--",0,1)</f>
        <v>333</v>
      </c>
      <c r="G126" t="str">
        <f>_xlfn.XLOOKUP(TBL_USUARIOS[[#This Row],[ID_MASSA]],tbl_de_massas[id_massa],tbl_de_massas[cartao_virtual_numero],"--",0,1)</f>
        <v/>
      </c>
      <c r="H126">
        <f>_xlfn.XLOOKUP(TBL_USUARIOS[[#This Row],[ID_MASSA]],tbl_de_massas[id_massa],tbl_de_massas[cartao_virtual_cvv],"--",0,1)</f>
        <v>0</v>
      </c>
    </row>
    <row r="127" spans="1:8" x14ac:dyDescent="0.25">
      <c r="A127" s="2" t="s">
        <v>2152</v>
      </c>
      <c r="B127" s="14" t="str">
        <f>_xlfn.XLOOKUP(TBL_USUARIOS[[#This Row],[ID_MASSA]],tbl_de_massas[id_massa],tbl_de_massas[cpf],"--",0,1)</f>
        <v>96873928860</v>
      </c>
      <c r="C127" t="s">
        <v>2389</v>
      </c>
      <c r="D127" t="str">
        <f>_xlfn.XLOOKUP(TBL_USUARIOS[[#This Row],[ID_MASSA]],tbl_de_massas[id_massa],tbl_de_massas[nome_completo],"--",0,1)</f>
        <v>Xiu Ying Wang</v>
      </c>
      <c r="E127" t="str">
        <f>_xlfn.XLOOKUP(TBL_USUARIOS[[#This Row],[ID_MASSA]],tbl_de_massas[id_massa],tbl_de_massas[cartao_fisico_numero],"--",0,1)</f>
        <v>4576 7460 4070 1907</v>
      </c>
      <c r="F127" t="str">
        <f>_xlfn.XLOOKUP(TBL_USUARIOS[[#This Row],[ID_MASSA]],tbl_de_massas[id_massa],tbl_de_massas[cartao_fisico_cvv],"--",0,1)</f>
        <v>333</v>
      </c>
      <c r="G127" t="str">
        <f>_xlfn.XLOOKUP(TBL_USUARIOS[[#This Row],[ID_MASSA]],tbl_de_massas[id_massa],tbl_de_massas[cartao_virtual_numero],"--",0,1)</f>
        <v/>
      </c>
      <c r="H127">
        <f>_xlfn.XLOOKUP(TBL_USUARIOS[[#This Row],[ID_MASSA]],tbl_de_massas[id_massa],tbl_de_massas[cartao_virtual_cvv],"--",0,1)</f>
        <v>0</v>
      </c>
    </row>
    <row r="128" spans="1:8" x14ac:dyDescent="0.25">
      <c r="A128" s="2" t="s">
        <v>2153</v>
      </c>
      <c r="B128" s="14" t="str">
        <f>_xlfn.XLOOKUP(TBL_USUARIOS[[#This Row],[ID_MASSA]],tbl_de_massas[id_massa],tbl_de_massas[cpf],"--",0,1)</f>
        <v>65207037706</v>
      </c>
      <c r="C128" t="s">
        <v>2390</v>
      </c>
      <c r="D128" t="str">
        <f>_xlfn.XLOOKUP(TBL_USUARIOS[[#This Row],[ID_MASSA]],tbl_de_massas[id_massa],tbl_de_massas[nome_completo],"--",0,1)</f>
        <v>Beatriz Ferreira</v>
      </c>
      <c r="E128" t="str">
        <f>_xlfn.XLOOKUP(TBL_USUARIOS[[#This Row],[ID_MASSA]],tbl_de_massas[id_massa],tbl_de_massas[cartao_fisico_numero],"--",0,1)</f>
        <v>3782 685080 1425</v>
      </c>
      <c r="F128" t="str">
        <f>_xlfn.XLOOKUP(TBL_USUARIOS[[#This Row],[ID_MASSA]],tbl_de_massas[id_massa],tbl_de_massas[cartao_fisico_cvv],"--",0,1)</f>
        <v>8821</v>
      </c>
      <c r="G128" t="str">
        <f>_xlfn.XLOOKUP(TBL_USUARIOS[[#This Row],[ID_MASSA]],tbl_de_massas[id_massa],tbl_de_massas[cartao_virtual_numero],"--",0,1)</f>
        <v/>
      </c>
      <c r="H128">
        <f>_xlfn.XLOOKUP(TBL_USUARIOS[[#This Row],[ID_MASSA]],tbl_de_massas[id_massa],tbl_de_massas[cartao_virtual_cvv],"--",0,1)</f>
        <v>0</v>
      </c>
    </row>
    <row r="129" spans="1:8" x14ac:dyDescent="0.25">
      <c r="A129" s="2" t="s">
        <v>2154</v>
      </c>
      <c r="B129" s="14" t="str">
        <f>_xlfn.XLOOKUP(TBL_USUARIOS[[#This Row],[ID_MASSA]],tbl_de_massas[id_massa],tbl_de_massas[cpf],"--",0,1)</f>
        <v>26700822386</v>
      </c>
      <c r="C129" t="s">
        <v>2391</v>
      </c>
      <c r="D129" t="str">
        <f>_xlfn.XLOOKUP(TBL_USUARIOS[[#This Row],[ID_MASSA]],tbl_de_massas[id_massa],tbl_de_massas[nome_completo],"--",0,1)</f>
        <v>Jean Dupont</v>
      </c>
      <c r="E129" t="str">
        <f>_xlfn.XLOOKUP(TBL_USUARIOS[[#This Row],[ID_MASSA]],tbl_de_massas[id_massa],tbl_de_massas[cartao_fisico_numero],"--",0,1)</f>
        <v>6062 8200 5369 4904</v>
      </c>
      <c r="F129" t="str">
        <f>_xlfn.XLOOKUP(TBL_USUARIOS[[#This Row],[ID_MASSA]],tbl_de_massas[id_massa],tbl_de_massas[cartao_fisico_cvv],"--",0,1)</f>
        <v>333</v>
      </c>
      <c r="G129" t="str">
        <f>_xlfn.XLOOKUP(TBL_USUARIOS[[#This Row],[ID_MASSA]],tbl_de_massas[id_massa],tbl_de_massas[cartao_virtual_numero],"--",0,1)</f>
        <v/>
      </c>
      <c r="H129">
        <f>_xlfn.XLOOKUP(TBL_USUARIOS[[#This Row],[ID_MASSA]],tbl_de_massas[id_massa],tbl_de_massas[cartao_virtual_cvv],"--",0,1)</f>
        <v>0</v>
      </c>
    </row>
    <row r="130" spans="1:8" x14ac:dyDescent="0.25">
      <c r="A130" s="2" t="s">
        <v>2155</v>
      </c>
      <c r="B130" s="14" t="str">
        <f>_xlfn.XLOOKUP(TBL_USUARIOS[[#This Row],[ID_MASSA]],tbl_de_massas[id_massa],tbl_de_massas[cpf],"--",0,1)</f>
        <v>77751515015</v>
      </c>
      <c r="C130" t="s">
        <v>2392</v>
      </c>
      <c r="D130" t="str">
        <f>_xlfn.XLOOKUP(TBL_USUARIOS[[#This Row],[ID_MASSA]],tbl_de_massas[id_massa],tbl_de_massas[nome_completo],"--",0,1)</f>
        <v>Yan Yang</v>
      </c>
      <c r="E130" t="str">
        <f>_xlfn.XLOOKUP(TBL_USUARIOS[[#This Row],[ID_MASSA]],tbl_de_massas[id_massa],tbl_de_massas[cartao_fisico_numero],"--",0,1)</f>
        <v>3782 111460 0263</v>
      </c>
      <c r="F130" t="str">
        <f>_xlfn.XLOOKUP(TBL_USUARIOS[[#This Row],[ID_MASSA]],tbl_de_massas[id_massa],tbl_de_massas[cartao_fisico_cvv],"--",0,1)</f>
        <v>8821</v>
      </c>
      <c r="G130" t="str">
        <f>_xlfn.XLOOKUP(TBL_USUARIOS[[#This Row],[ID_MASSA]],tbl_de_massas[id_massa],tbl_de_massas[cartao_virtual_numero],"--",0,1)</f>
        <v/>
      </c>
      <c r="H130">
        <f>_xlfn.XLOOKUP(TBL_USUARIOS[[#This Row],[ID_MASSA]],tbl_de_massas[id_massa],tbl_de_massas[cartao_virtual_cvv],"--",0,1)</f>
        <v>0</v>
      </c>
    </row>
    <row r="131" spans="1:8" x14ac:dyDescent="0.25">
      <c r="A131" s="2" t="s">
        <v>2156</v>
      </c>
      <c r="B131" s="14" t="str">
        <f>_xlfn.XLOOKUP(TBL_USUARIOS[[#This Row],[ID_MASSA]],tbl_de_massas[id_massa],tbl_de_massas[cpf],"--",0,1)</f>
        <v>15803041416</v>
      </c>
      <c r="C131" t="s">
        <v>2393</v>
      </c>
      <c r="D131" t="str">
        <f>_xlfn.XLOOKUP(TBL_USUARIOS[[#This Row],[ID_MASSA]],tbl_de_massas[id_massa],tbl_de_massas[nome_completo],"--",0,1)</f>
        <v>Sophie Schmidt</v>
      </c>
      <c r="E131" t="str">
        <f>_xlfn.XLOOKUP(TBL_USUARIOS[[#This Row],[ID_MASSA]],tbl_de_massas[id_massa],tbl_de_massas[cartao_fisico_numero],"--",0,1)</f>
        <v>6062 8200 8153 1556</v>
      </c>
      <c r="F131" t="str">
        <f>_xlfn.XLOOKUP(TBL_USUARIOS[[#This Row],[ID_MASSA]],tbl_de_massas[id_massa],tbl_de_massas[cartao_fisico_cvv],"--",0,1)</f>
        <v>333</v>
      </c>
      <c r="G131" t="str">
        <f>_xlfn.XLOOKUP(TBL_USUARIOS[[#This Row],[ID_MASSA]],tbl_de_massas[id_massa],tbl_de_massas[cartao_virtual_numero],"--",0,1)</f>
        <v/>
      </c>
      <c r="H131">
        <f>_xlfn.XLOOKUP(TBL_USUARIOS[[#This Row],[ID_MASSA]],tbl_de_massas[id_massa],tbl_de_massas[cartao_virtual_cvv],"--",0,1)</f>
        <v>0</v>
      </c>
    </row>
    <row r="132" spans="1:8" x14ac:dyDescent="0.25">
      <c r="A132" s="2" t="s">
        <v>2157</v>
      </c>
      <c r="B132" s="14" t="str">
        <f>_xlfn.XLOOKUP(TBL_USUARIOS[[#This Row],[ID_MASSA]],tbl_de_massas[id_massa],tbl_de_massas[cpf],"--",0,1)</f>
        <v>20092389589</v>
      </c>
      <c r="C132" t="s">
        <v>2394</v>
      </c>
      <c r="D132" t="str">
        <f>_xlfn.XLOOKUP(TBL_USUARIOS[[#This Row],[ID_MASSA]],tbl_de_massas[id_massa],tbl_de_massas[nome_completo],"--",0,1)</f>
        <v>Joon Jeong</v>
      </c>
      <c r="E132" t="str">
        <f>_xlfn.XLOOKUP(TBL_USUARIOS[[#This Row],[ID_MASSA]],tbl_de_massas[id_massa],tbl_de_massas[cartao_fisico_numero],"--",0,1)</f>
        <v>6062 8200 7026 8413</v>
      </c>
      <c r="F132" t="str">
        <f>_xlfn.XLOOKUP(TBL_USUARIOS[[#This Row],[ID_MASSA]],tbl_de_massas[id_massa],tbl_de_massas[cartao_fisico_cvv],"--",0,1)</f>
        <v>333</v>
      </c>
      <c r="G132" t="str">
        <f>_xlfn.XLOOKUP(TBL_USUARIOS[[#This Row],[ID_MASSA]],tbl_de_massas[id_massa],tbl_de_massas[cartao_virtual_numero],"--",0,1)</f>
        <v/>
      </c>
      <c r="H132">
        <f>_xlfn.XLOOKUP(TBL_USUARIOS[[#This Row],[ID_MASSA]],tbl_de_massas[id_massa],tbl_de_massas[cartao_virtual_cvv],"--",0,1)</f>
        <v>0</v>
      </c>
    </row>
    <row r="133" spans="1:8" x14ac:dyDescent="0.25">
      <c r="A133" s="2" t="s">
        <v>2158</v>
      </c>
      <c r="B133" s="14" t="str">
        <f>_xlfn.XLOOKUP(TBL_USUARIOS[[#This Row],[ID_MASSA]],tbl_de_massas[id_massa],tbl_de_massas[cpf],"--",0,1)</f>
        <v>49768246758</v>
      </c>
      <c r="C133" t="s">
        <v>2395</v>
      </c>
      <c r="D133" t="str">
        <f>_xlfn.XLOOKUP(TBL_USUARIOS[[#This Row],[ID_MASSA]],tbl_de_massas[id_massa],tbl_de_massas[nome_completo],"--",0,1)</f>
        <v>Sophia Grace Brown</v>
      </c>
      <c r="E133" t="str">
        <f>_xlfn.XLOOKUP(TBL_USUARIOS[[#This Row],[ID_MASSA]],tbl_de_massas[id_massa],tbl_de_massas[cartao_fisico_numero],"--",0,1)</f>
        <v>6062 8200 6757 6160</v>
      </c>
      <c r="F133" t="str">
        <f>_xlfn.XLOOKUP(TBL_USUARIOS[[#This Row],[ID_MASSA]],tbl_de_massas[id_massa],tbl_de_massas[cartao_fisico_cvv],"--",0,1)</f>
        <v>333</v>
      </c>
      <c r="G133" t="str">
        <f>_xlfn.XLOOKUP(TBL_USUARIOS[[#This Row],[ID_MASSA]],tbl_de_massas[id_massa],tbl_de_massas[cartao_virtual_numero],"--",0,1)</f>
        <v/>
      </c>
      <c r="H133">
        <f>_xlfn.XLOOKUP(TBL_USUARIOS[[#This Row],[ID_MASSA]],tbl_de_massas[id_massa],tbl_de_massas[cartao_virtual_cvv],"--",0,1)</f>
        <v>0</v>
      </c>
    </row>
    <row r="134" spans="1:8" x14ac:dyDescent="0.25">
      <c r="A134" s="2" t="s">
        <v>2159</v>
      </c>
      <c r="B134" s="14" t="str">
        <f>_xlfn.XLOOKUP(TBL_USUARIOS[[#This Row],[ID_MASSA]],tbl_de_massas[id_massa],tbl_de_massas[cpf],"--",0,1)</f>
        <v>57855482407</v>
      </c>
      <c r="C134" t="s">
        <v>2396</v>
      </c>
      <c r="D134" t="str">
        <f>_xlfn.XLOOKUP(TBL_USUARIOS[[#This Row],[ID_MASSA]],tbl_de_massas[id_massa],tbl_de_massas[nome_completo],"--",0,1)</f>
        <v>Alexander James Smith</v>
      </c>
      <c r="E134" t="str">
        <f>_xlfn.XLOOKUP(TBL_USUARIOS[[#This Row],[ID_MASSA]],tbl_de_massas[id_massa],tbl_de_massas[cartao_fisico_numero],"--",0,1)</f>
        <v>4576 7460 2297 6677</v>
      </c>
      <c r="F134" t="str">
        <f>_xlfn.XLOOKUP(TBL_USUARIOS[[#This Row],[ID_MASSA]],tbl_de_massas[id_massa],tbl_de_massas[cartao_fisico_cvv],"--",0,1)</f>
        <v>333</v>
      </c>
      <c r="G134" t="str">
        <f>_xlfn.XLOOKUP(TBL_USUARIOS[[#This Row],[ID_MASSA]],tbl_de_massas[id_massa],tbl_de_massas[cartao_virtual_numero],"--",0,1)</f>
        <v/>
      </c>
      <c r="H134">
        <f>_xlfn.XLOOKUP(TBL_USUARIOS[[#This Row],[ID_MASSA]],tbl_de_massas[id_massa],tbl_de_massas[cartao_virtual_cvv],"--",0,1)</f>
        <v>0</v>
      </c>
    </row>
    <row r="135" spans="1:8" x14ac:dyDescent="0.25">
      <c r="A135" s="2" t="s">
        <v>2160</v>
      </c>
      <c r="B135" s="14" t="str">
        <f>_xlfn.XLOOKUP(TBL_USUARIOS[[#This Row],[ID_MASSA]],tbl_de_massas[id_massa],tbl_de_massas[cpf],"--",0,1)</f>
        <v>89287038082</v>
      </c>
      <c r="C135" t="s">
        <v>2397</v>
      </c>
      <c r="D135" t="str">
        <f>_xlfn.XLOOKUP(TBL_USUARIOS[[#This Row],[ID_MASSA]],tbl_de_massas[id_massa],tbl_de_massas[nome_completo],"--",0,1)</f>
        <v>Leonardo Bianchi</v>
      </c>
      <c r="E135" t="str">
        <f>_xlfn.XLOOKUP(TBL_USUARIOS[[#This Row],[ID_MASSA]],tbl_de_massas[id_massa],tbl_de_massas[cartao_fisico_numero],"--",0,1)</f>
        <v>5442 7460 4389 5317</v>
      </c>
      <c r="F135" t="str">
        <f>_xlfn.XLOOKUP(TBL_USUARIOS[[#This Row],[ID_MASSA]],tbl_de_massas[id_massa],tbl_de_massas[cartao_fisico_cvv],"--",0,1)</f>
        <v>333</v>
      </c>
      <c r="G135" t="str">
        <f>_xlfn.XLOOKUP(TBL_USUARIOS[[#This Row],[ID_MASSA]],tbl_de_massas[id_massa],tbl_de_massas[cartao_virtual_numero],"--",0,1)</f>
        <v/>
      </c>
      <c r="H135">
        <f>_xlfn.XLOOKUP(TBL_USUARIOS[[#This Row],[ID_MASSA]],tbl_de_massas[id_massa],tbl_de_massas[cartao_virtual_cvv],"--",0,1)</f>
        <v>0</v>
      </c>
    </row>
    <row r="136" spans="1:8" x14ac:dyDescent="0.25">
      <c r="A136" s="2" t="s">
        <v>2161</v>
      </c>
      <c r="B136" s="14" t="str">
        <f>_xlfn.XLOOKUP(TBL_USUARIOS[[#This Row],[ID_MASSA]],tbl_de_massas[id_massa],tbl_de_massas[cpf],"--",0,1)</f>
        <v>07154153601</v>
      </c>
      <c r="C136" t="s">
        <v>2398</v>
      </c>
      <c r="D136" t="str">
        <f>_xlfn.XLOOKUP(TBL_USUARIOS[[#This Row],[ID_MASSA]],tbl_de_massas[id_massa],tbl_de_massas[nome_completo],"--",0,1)</f>
        <v>Goncalo Santos</v>
      </c>
      <c r="E136" t="str">
        <f>_xlfn.XLOOKUP(TBL_USUARIOS[[#This Row],[ID_MASSA]],tbl_de_massas[id_massa],tbl_de_massas[cartao_fisico_numero],"--",0,1)</f>
        <v>6062 8200 9467 2268</v>
      </c>
      <c r="F136" t="str">
        <f>_xlfn.XLOOKUP(TBL_USUARIOS[[#This Row],[ID_MASSA]],tbl_de_massas[id_massa],tbl_de_massas[cartao_fisico_cvv],"--",0,1)</f>
        <v>333</v>
      </c>
      <c r="G136" t="str">
        <f>_xlfn.XLOOKUP(TBL_USUARIOS[[#This Row],[ID_MASSA]],tbl_de_massas[id_massa],tbl_de_massas[cartao_virtual_numero],"--",0,1)</f>
        <v/>
      </c>
      <c r="H136">
        <f>_xlfn.XLOOKUP(TBL_USUARIOS[[#This Row],[ID_MASSA]],tbl_de_massas[id_massa],tbl_de_massas[cartao_virtual_cvv],"--",0,1)</f>
        <v>0</v>
      </c>
    </row>
    <row r="137" spans="1:8" x14ac:dyDescent="0.25">
      <c r="A137" s="2" t="s">
        <v>2162</v>
      </c>
      <c r="B137" s="14" t="str">
        <f>_xlfn.XLOOKUP(TBL_USUARIOS[[#This Row],[ID_MASSA]],tbl_de_massas[id_massa],tbl_de_massas[cpf],"--",0,1)</f>
        <v>08025476561</v>
      </c>
      <c r="C137" t="s">
        <v>2399</v>
      </c>
      <c r="D137" t="str">
        <f>_xlfn.XLOOKUP(TBL_USUARIOS[[#This Row],[ID_MASSA]],tbl_de_massas[id_massa],tbl_de_massas[nome_completo],"--",0,1)</f>
        <v>Seoyun Lee</v>
      </c>
      <c r="E137" t="str">
        <f>_xlfn.XLOOKUP(TBL_USUARIOS[[#This Row],[ID_MASSA]],tbl_de_massas[id_massa],tbl_de_massas[cartao_fisico_numero],"--",0,1)</f>
        <v>3782 532467 8360</v>
      </c>
      <c r="F137" t="str">
        <f>_xlfn.XLOOKUP(TBL_USUARIOS[[#This Row],[ID_MASSA]],tbl_de_massas[id_massa],tbl_de_massas[cartao_fisico_cvv],"--",0,1)</f>
        <v>8821</v>
      </c>
      <c r="G137" t="str">
        <f>_xlfn.XLOOKUP(TBL_USUARIOS[[#This Row],[ID_MASSA]],tbl_de_massas[id_massa],tbl_de_massas[cartao_virtual_numero],"--",0,1)</f>
        <v/>
      </c>
      <c r="H137">
        <f>_xlfn.XLOOKUP(TBL_USUARIOS[[#This Row],[ID_MASSA]],tbl_de_massas[id_massa],tbl_de_massas[cartao_virtual_cvv],"--",0,1)</f>
        <v>0</v>
      </c>
    </row>
    <row r="138" spans="1:8" x14ac:dyDescent="0.25">
      <c r="A138" s="2" t="s">
        <v>2163</v>
      </c>
      <c r="B138" s="14" t="str">
        <f>_xlfn.XLOOKUP(TBL_USUARIOS[[#This Row],[ID_MASSA]],tbl_de_massas[id_massa],tbl_de_massas[cpf],"--",0,1)</f>
        <v>35417211460</v>
      </c>
      <c r="C138" t="s">
        <v>2400</v>
      </c>
      <c r="D138" t="str">
        <f>_xlfn.XLOOKUP(TBL_USUARIOS[[#This Row],[ID_MASSA]],tbl_de_massas[id_massa],tbl_de_massas[nome_completo],"--",0,1)</f>
        <v>Pierre Bernard</v>
      </c>
      <c r="E138" t="str">
        <f>_xlfn.XLOOKUP(TBL_USUARIOS[[#This Row],[ID_MASSA]],tbl_de_massas[id_massa],tbl_de_massas[cartao_fisico_numero],"--",0,1)</f>
        <v>5442 7460 6905 0790</v>
      </c>
      <c r="F138" t="str">
        <f>_xlfn.XLOOKUP(TBL_USUARIOS[[#This Row],[ID_MASSA]],tbl_de_massas[id_massa],tbl_de_massas[cartao_fisico_cvv],"--",0,1)</f>
        <v>333</v>
      </c>
      <c r="G138" t="str">
        <f>_xlfn.XLOOKUP(TBL_USUARIOS[[#This Row],[ID_MASSA]],tbl_de_massas[id_massa],tbl_de_massas[cartao_virtual_numero],"--",0,1)</f>
        <v/>
      </c>
      <c r="H138">
        <f>_xlfn.XLOOKUP(TBL_USUARIOS[[#This Row],[ID_MASSA]],tbl_de_massas[id_massa],tbl_de_massas[cartao_virtual_cvv],"--",0,1)</f>
        <v>0</v>
      </c>
    </row>
    <row r="139" spans="1:8" x14ac:dyDescent="0.25">
      <c r="A139" s="2" t="s">
        <v>2164</v>
      </c>
      <c r="B139" s="14" t="str">
        <f>_xlfn.XLOOKUP(TBL_USUARIOS[[#This Row],[ID_MASSA]],tbl_de_massas[id_massa],tbl_de_massas[cpf],"--",0,1)</f>
        <v>82474679928</v>
      </c>
      <c r="C139" t="s">
        <v>2401</v>
      </c>
      <c r="D139" t="str">
        <f>_xlfn.XLOOKUP(TBL_USUARIOS[[#This Row],[ID_MASSA]],tbl_de_massas[id_massa],tbl_de_massas[nome_completo],"--",0,1)</f>
        <v>Sofia Esposito</v>
      </c>
      <c r="E139" t="str">
        <f>_xlfn.XLOOKUP(TBL_USUARIOS[[#This Row],[ID_MASSA]],tbl_de_massas[id_massa],tbl_de_massas[cartao_fisico_numero],"--",0,1)</f>
        <v>6062 8200 2915 7609</v>
      </c>
      <c r="F139" t="str">
        <f>_xlfn.XLOOKUP(TBL_USUARIOS[[#This Row],[ID_MASSA]],tbl_de_massas[id_massa],tbl_de_massas[cartao_fisico_cvv],"--",0,1)</f>
        <v>333</v>
      </c>
      <c r="G139" t="str">
        <f>_xlfn.XLOOKUP(TBL_USUARIOS[[#This Row],[ID_MASSA]],tbl_de_massas[id_massa],tbl_de_massas[cartao_virtual_numero],"--",0,1)</f>
        <v/>
      </c>
      <c r="H139">
        <f>_xlfn.XLOOKUP(TBL_USUARIOS[[#This Row],[ID_MASSA]],tbl_de_massas[id_massa],tbl_de_massas[cartao_virtual_cvv],"--",0,1)</f>
        <v>0</v>
      </c>
    </row>
    <row r="140" spans="1:8" x14ac:dyDescent="0.25">
      <c r="A140" s="2" t="s">
        <v>2165</v>
      </c>
      <c r="B140" s="14" t="str">
        <f>_xlfn.XLOOKUP(TBL_USUARIOS[[#This Row],[ID_MASSA]],tbl_de_massas[id_massa],tbl_de_massas[cpf],"--",0,1)</f>
        <v>92808200609</v>
      </c>
      <c r="C140" t="s">
        <v>2402</v>
      </c>
      <c r="D140" t="str">
        <f>_xlfn.XLOOKUP(TBL_USUARIOS[[#This Row],[ID_MASSA]],tbl_de_massas[id_massa],tbl_de_massas[nome_completo],"--",0,1)</f>
        <v>Ming Zhang</v>
      </c>
      <c r="E140" t="str">
        <f>_xlfn.XLOOKUP(TBL_USUARIOS[[#This Row],[ID_MASSA]],tbl_de_massas[id_massa],tbl_de_massas[cartao_fisico_numero],"--",0,1)</f>
        <v>5442 7460 7882 7909</v>
      </c>
      <c r="F140" t="str">
        <f>_xlfn.XLOOKUP(TBL_USUARIOS[[#This Row],[ID_MASSA]],tbl_de_massas[id_massa],tbl_de_massas[cartao_fisico_cvv],"--",0,1)</f>
        <v>333</v>
      </c>
      <c r="G140" t="str">
        <f>_xlfn.XLOOKUP(TBL_USUARIOS[[#This Row],[ID_MASSA]],tbl_de_massas[id_massa],tbl_de_massas[cartao_virtual_numero],"--",0,1)</f>
        <v/>
      </c>
      <c r="H140">
        <f>_xlfn.XLOOKUP(TBL_USUARIOS[[#This Row],[ID_MASSA]],tbl_de_massas[id_massa],tbl_de_massas[cartao_virtual_cvv],"--",0,1)</f>
        <v>0</v>
      </c>
    </row>
    <row r="141" spans="1:8" x14ac:dyDescent="0.25">
      <c r="A141" s="2" t="s">
        <v>2166</v>
      </c>
      <c r="B141" s="14" t="str">
        <f>_xlfn.XLOOKUP(TBL_USUARIOS[[#This Row],[ID_MASSA]],tbl_de_massas[id_massa],tbl_de_massas[cpf],"--",0,1)</f>
        <v>92957697327</v>
      </c>
      <c r="C141" t="s">
        <v>2403</v>
      </c>
      <c r="D141" t="str">
        <f>_xlfn.XLOOKUP(TBL_USUARIOS[[#This Row],[ID_MASSA]],tbl_de_massas[id_massa],tbl_de_massas[nome_completo],"--",0,1)</f>
        <v>Kenji Sato</v>
      </c>
      <c r="E141" t="str">
        <f>_xlfn.XLOOKUP(TBL_USUARIOS[[#This Row],[ID_MASSA]],tbl_de_massas[id_massa],tbl_de_massas[cartao_fisico_numero],"--",0,1)</f>
        <v>6505 0666 1952 5435</v>
      </c>
      <c r="F141" t="str">
        <f>_xlfn.XLOOKUP(TBL_USUARIOS[[#This Row],[ID_MASSA]],tbl_de_massas[id_massa],tbl_de_massas[cartao_fisico_cvv],"--",0,1)</f>
        <v>333</v>
      </c>
      <c r="G141" t="str">
        <f>_xlfn.XLOOKUP(TBL_USUARIOS[[#This Row],[ID_MASSA]],tbl_de_massas[id_massa],tbl_de_massas[cartao_virtual_numero],"--",0,1)</f>
        <v/>
      </c>
      <c r="H141">
        <f>_xlfn.XLOOKUP(TBL_USUARIOS[[#This Row],[ID_MASSA]],tbl_de_massas[id_massa],tbl_de_massas[cartao_virtual_cvv],"--",0,1)</f>
        <v>0</v>
      </c>
    </row>
    <row r="142" spans="1:8" x14ac:dyDescent="0.25">
      <c r="A142" s="2" t="s">
        <v>2167</v>
      </c>
      <c r="B142" s="14" t="str">
        <f>_xlfn.XLOOKUP(TBL_USUARIOS[[#This Row],[ID_MASSA]],tbl_de_massas[id_massa],tbl_de_massas[cpf],"--",0,1)</f>
        <v>41750109719</v>
      </c>
      <c r="C142" t="s">
        <v>2404</v>
      </c>
      <c r="D142" t="str">
        <f>_xlfn.XLOOKUP(TBL_USUARIOS[[#This Row],[ID_MASSA]],tbl_de_massas[id_massa],tbl_de_massas[nome_completo],"--",0,1)</f>
        <v>Jiwoo Park</v>
      </c>
      <c r="E142" t="str">
        <f>_xlfn.XLOOKUP(TBL_USUARIOS[[#This Row],[ID_MASSA]],tbl_de_massas[id_massa],tbl_de_massas[cartao_fisico_numero],"--",0,1)</f>
        <v>5442 7460 4468 2208</v>
      </c>
      <c r="F142" t="str">
        <f>_xlfn.XLOOKUP(TBL_USUARIOS[[#This Row],[ID_MASSA]],tbl_de_massas[id_massa],tbl_de_massas[cartao_fisico_cvv],"--",0,1)</f>
        <v>333</v>
      </c>
      <c r="G142" t="str">
        <f>_xlfn.XLOOKUP(TBL_USUARIOS[[#This Row],[ID_MASSA]],tbl_de_massas[id_massa],tbl_de_massas[cartao_virtual_numero],"--",0,1)</f>
        <v/>
      </c>
      <c r="H142">
        <f>_xlfn.XLOOKUP(TBL_USUARIOS[[#This Row],[ID_MASSA]],tbl_de_massas[id_massa],tbl_de_massas[cartao_virtual_cvv],"--",0,1)</f>
        <v>0</v>
      </c>
    </row>
    <row r="143" spans="1:8" x14ac:dyDescent="0.25">
      <c r="A143" s="2" t="s">
        <v>2168</v>
      </c>
      <c r="B143" s="14" t="str">
        <f>_xlfn.XLOOKUP(TBL_USUARIOS[[#This Row],[ID_MASSA]],tbl_de_massas[id_massa],tbl_de_massas[cpf],"--",0,1)</f>
        <v>45447544025</v>
      </c>
      <c r="C143" t="s">
        <v>2405</v>
      </c>
      <c r="D143" t="str">
        <f>_xlfn.XLOOKUP(TBL_USUARIOS[[#This Row],[ID_MASSA]],tbl_de_massas[id_massa],tbl_de_massas[nome_completo],"--",0,1)</f>
        <v>Jian Liu</v>
      </c>
      <c r="E143" t="str">
        <f>_xlfn.XLOOKUP(TBL_USUARIOS[[#This Row],[ID_MASSA]],tbl_de_massas[id_massa],tbl_de_massas[cartao_fisico_numero],"--",0,1)</f>
        <v>6505 0666 6165 7964</v>
      </c>
      <c r="F143" t="str">
        <f>_xlfn.XLOOKUP(TBL_USUARIOS[[#This Row],[ID_MASSA]],tbl_de_massas[id_massa],tbl_de_massas[cartao_fisico_cvv],"--",0,1)</f>
        <v>333</v>
      </c>
      <c r="G143" t="str">
        <f>_xlfn.XLOOKUP(TBL_USUARIOS[[#This Row],[ID_MASSA]],tbl_de_massas[id_massa],tbl_de_massas[cartao_virtual_numero],"--",0,1)</f>
        <v/>
      </c>
      <c r="H143">
        <f>_xlfn.XLOOKUP(TBL_USUARIOS[[#This Row],[ID_MASSA]],tbl_de_massas[id_massa],tbl_de_massas[cartao_virtual_cvv],"--",0,1)</f>
        <v>0</v>
      </c>
    </row>
    <row r="144" spans="1:8" x14ac:dyDescent="0.25">
      <c r="A144" s="2" t="s">
        <v>2169</v>
      </c>
      <c r="B144" s="14" t="str">
        <f>_xlfn.XLOOKUP(TBL_USUARIOS[[#This Row],[ID_MASSA]],tbl_de_massas[id_massa],tbl_de_massas[cpf],"--",0,1)</f>
        <v>84979979998</v>
      </c>
      <c r="C144" t="s">
        <v>2406</v>
      </c>
      <c r="D144" t="str">
        <f>_xlfn.XLOOKUP(TBL_USUARIOS[[#This Row],[ID_MASSA]],tbl_de_massas[id_massa],tbl_de_massas[nome_completo],"--",0,1)</f>
        <v>Camila Lopez</v>
      </c>
      <c r="E144" t="str">
        <f>_xlfn.XLOOKUP(TBL_USUARIOS[[#This Row],[ID_MASSA]],tbl_de_massas[id_massa],tbl_de_massas[cartao_fisico_numero],"--",0,1)</f>
        <v>3782 623285 4972</v>
      </c>
      <c r="F144" t="str">
        <f>_xlfn.XLOOKUP(TBL_USUARIOS[[#This Row],[ID_MASSA]],tbl_de_massas[id_massa],tbl_de_massas[cartao_fisico_cvv],"--",0,1)</f>
        <v>8821</v>
      </c>
      <c r="G144" t="str">
        <f>_xlfn.XLOOKUP(TBL_USUARIOS[[#This Row],[ID_MASSA]],tbl_de_massas[id_massa],tbl_de_massas[cartao_virtual_numero],"--",0,1)</f>
        <v/>
      </c>
      <c r="H144">
        <f>_xlfn.XLOOKUP(TBL_USUARIOS[[#This Row],[ID_MASSA]],tbl_de_massas[id_massa],tbl_de_massas[cartao_virtual_cvv],"--",0,1)</f>
        <v>0</v>
      </c>
    </row>
    <row r="145" spans="1:8" x14ac:dyDescent="0.25">
      <c r="A145" s="2" t="s">
        <v>2170</v>
      </c>
      <c r="B145" s="14" t="str">
        <f>_xlfn.XLOOKUP(TBL_USUARIOS[[#This Row],[ID_MASSA]],tbl_de_massas[id_massa],tbl_de_massas[cpf],"--",0,1)</f>
        <v>09056318624</v>
      </c>
      <c r="C145" t="s">
        <v>2407</v>
      </c>
      <c r="D145" t="str">
        <f>_xlfn.XLOOKUP(TBL_USUARIOS[[#This Row],[ID_MASSA]],tbl_de_massas[id_massa],tbl_de_massas[nome_completo],"--",0,1)</f>
        <v>Emily Rose Johnson</v>
      </c>
      <c r="E145" t="str">
        <f>_xlfn.XLOOKUP(TBL_USUARIOS[[#This Row],[ID_MASSA]],tbl_de_massas[id_massa],tbl_de_massas[cartao_fisico_numero],"--",0,1)</f>
        <v>6505 0666 6899 6592</v>
      </c>
      <c r="F145" t="str">
        <f>_xlfn.XLOOKUP(TBL_USUARIOS[[#This Row],[ID_MASSA]],tbl_de_massas[id_massa],tbl_de_massas[cartao_fisico_cvv],"--",0,1)</f>
        <v>333</v>
      </c>
      <c r="G145" t="str">
        <f>_xlfn.XLOOKUP(TBL_USUARIOS[[#This Row],[ID_MASSA]],tbl_de_massas[id_massa],tbl_de_massas[cartao_virtual_numero],"--",0,1)</f>
        <v/>
      </c>
      <c r="H145">
        <f>_xlfn.XLOOKUP(TBL_USUARIOS[[#This Row],[ID_MASSA]],tbl_de_massas[id_massa],tbl_de_massas[cartao_virtual_cvv],"--",0,1)</f>
        <v>0</v>
      </c>
    </row>
    <row r="146" spans="1:8" x14ac:dyDescent="0.25">
      <c r="A146" s="2" t="s">
        <v>2171</v>
      </c>
      <c r="B146" s="14" t="str">
        <f>_xlfn.XLOOKUP(TBL_USUARIOS[[#This Row],[ID_MASSA]],tbl_de_massas[id_massa],tbl_de_massas[cpf],"--",0,1)</f>
        <v>01086796160</v>
      </c>
      <c r="C146" t="s">
        <v>2408</v>
      </c>
      <c r="D146" t="str">
        <f>_xlfn.XLOOKUP(TBL_USUARIOS[[#This Row],[ID_MASSA]],tbl_de_massas[id_massa],tbl_de_massas[nome_completo],"--",0,1)</f>
        <v>Joao Pedro Silva</v>
      </c>
      <c r="E146" t="str">
        <f>_xlfn.XLOOKUP(TBL_USUARIOS[[#This Row],[ID_MASSA]],tbl_de_massas[id_massa],tbl_de_massas[cartao_fisico_numero],"--",0,1)</f>
        <v>3782 810474 1016</v>
      </c>
      <c r="F146" t="str">
        <f>_xlfn.XLOOKUP(TBL_USUARIOS[[#This Row],[ID_MASSA]],tbl_de_massas[id_massa],tbl_de_massas[cartao_fisico_cvv],"--",0,1)</f>
        <v>8821</v>
      </c>
      <c r="G146" t="str">
        <f>_xlfn.XLOOKUP(TBL_USUARIOS[[#This Row],[ID_MASSA]],tbl_de_massas[id_massa],tbl_de_massas[cartao_virtual_numero],"--",0,1)</f>
        <v/>
      </c>
      <c r="H146">
        <f>_xlfn.XLOOKUP(TBL_USUARIOS[[#This Row],[ID_MASSA]],tbl_de_massas[id_massa],tbl_de_massas[cartao_virtual_cvv],"--",0,1)</f>
        <v>0</v>
      </c>
    </row>
    <row r="147" spans="1:8" x14ac:dyDescent="0.25">
      <c r="A147" s="2" t="s">
        <v>2172</v>
      </c>
      <c r="B147" s="14" t="str">
        <f>_xlfn.XLOOKUP(TBL_USUARIOS[[#This Row],[ID_MASSA]],tbl_de_massas[id_massa],tbl_de_massas[cpf],"--",0,1)</f>
        <v>84585226834</v>
      </c>
      <c r="C147" t="s">
        <v>2409</v>
      </c>
      <c r="D147" t="str">
        <f>_xlfn.XLOOKUP(TBL_USUARIOS[[#This Row],[ID_MASSA]],tbl_de_massas[id_massa],tbl_de_massas[nome_completo],"--",0,1)</f>
        <v>Wei Li</v>
      </c>
      <c r="E147" t="str">
        <f>_xlfn.XLOOKUP(TBL_USUARIOS[[#This Row],[ID_MASSA]],tbl_de_massas[id_massa],tbl_de_massas[cartao_fisico_numero],"--",0,1)</f>
        <v>6062 8200 1482 6074</v>
      </c>
      <c r="F147" t="str">
        <f>_xlfn.XLOOKUP(TBL_USUARIOS[[#This Row],[ID_MASSA]],tbl_de_massas[id_massa],tbl_de_massas[cartao_fisico_cvv],"--",0,1)</f>
        <v>333</v>
      </c>
      <c r="G147" t="str">
        <f>_xlfn.XLOOKUP(TBL_USUARIOS[[#This Row],[ID_MASSA]],tbl_de_massas[id_massa],tbl_de_massas[cartao_virtual_numero],"--",0,1)</f>
        <v/>
      </c>
      <c r="H147">
        <f>_xlfn.XLOOKUP(TBL_USUARIOS[[#This Row],[ID_MASSA]],tbl_de_massas[id_massa],tbl_de_massas[cartao_virtual_cvv],"--",0,1)</f>
        <v>0</v>
      </c>
    </row>
    <row r="148" spans="1:8" x14ac:dyDescent="0.25">
      <c r="A148" s="2" t="s">
        <v>2173</v>
      </c>
      <c r="B148" s="14" t="str">
        <f>_xlfn.XLOOKUP(TBL_USUARIOS[[#This Row],[ID_MASSA]],tbl_de_massas[id_massa],tbl_de_massas[cpf],"--",0,1)</f>
        <v>18642038977</v>
      </c>
      <c r="C148" t="s">
        <v>2410</v>
      </c>
      <c r="D148" t="str">
        <f>_xlfn.XLOOKUP(TBL_USUARIOS[[#This Row],[ID_MASSA]],tbl_de_massas[id_massa],tbl_de_massas[nome_completo],"--",0,1)</f>
        <v>Joaquin Gonzalez</v>
      </c>
      <c r="E148" t="str">
        <f>_xlfn.XLOOKUP(TBL_USUARIOS[[#This Row],[ID_MASSA]],tbl_de_massas[id_massa],tbl_de_massas[cartao_fisico_numero],"--",0,1)</f>
        <v>5442 7460 2626 2988</v>
      </c>
      <c r="F148" t="str">
        <f>_xlfn.XLOOKUP(TBL_USUARIOS[[#This Row],[ID_MASSA]],tbl_de_massas[id_massa],tbl_de_massas[cartao_fisico_cvv],"--",0,1)</f>
        <v>333</v>
      </c>
      <c r="G148" t="str">
        <f>_xlfn.XLOOKUP(TBL_USUARIOS[[#This Row],[ID_MASSA]],tbl_de_massas[id_massa],tbl_de_massas[cartao_virtual_numero],"--",0,1)</f>
        <v/>
      </c>
      <c r="H148">
        <f>_xlfn.XLOOKUP(TBL_USUARIOS[[#This Row],[ID_MASSA]],tbl_de_massas[id_massa],tbl_de_massas[cartao_virtual_cvv],"--",0,1)</f>
        <v>0</v>
      </c>
    </row>
    <row r="149" spans="1:8" x14ac:dyDescent="0.25">
      <c r="A149" s="2" t="s">
        <v>2174</v>
      </c>
      <c r="B149" s="14" t="str">
        <f>_xlfn.XLOOKUP(TBL_USUARIOS[[#This Row],[ID_MASSA]],tbl_de_massas[id_massa],tbl_de_massas[cpf],"--",0,1)</f>
        <v>87111008855</v>
      </c>
      <c r="C149" t="s">
        <v>2411</v>
      </c>
      <c r="D149" t="str">
        <f>_xlfn.XLOOKUP(TBL_USUARIOS[[#This Row],[ID_MASSA]],tbl_de_massas[id_massa],tbl_de_massas[nome_completo],"--",0,1)</f>
        <v>Lei Chen</v>
      </c>
      <c r="E149" t="str">
        <f>_xlfn.XLOOKUP(TBL_USUARIOS[[#This Row],[ID_MASSA]],tbl_de_massas[id_massa],tbl_de_massas[cartao_fisico_numero],"--",0,1)</f>
        <v>5442 7460 9738 1287</v>
      </c>
      <c r="F149" t="str">
        <f>_xlfn.XLOOKUP(TBL_USUARIOS[[#This Row],[ID_MASSA]],tbl_de_massas[id_massa],tbl_de_massas[cartao_fisico_cvv],"--",0,1)</f>
        <v>333</v>
      </c>
      <c r="G149" t="str">
        <f>_xlfn.XLOOKUP(TBL_USUARIOS[[#This Row],[ID_MASSA]],tbl_de_massas[id_massa],tbl_de_massas[cartao_virtual_numero],"--",0,1)</f>
        <v/>
      </c>
      <c r="H149">
        <f>_xlfn.XLOOKUP(TBL_USUARIOS[[#This Row],[ID_MASSA]],tbl_de_massas[id_massa],tbl_de_massas[cartao_virtual_cvv],"--",0,1)</f>
        <v>0</v>
      </c>
    </row>
    <row r="150" spans="1:8" x14ac:dyDescent="0.25">
      <c r="A150" s="2" t="s">
        <v>2175</v>
      </c>
      <c r="B150" s="14" t="str">
        <f>_xlfn.XLOOKUP(TBL_USUARIOS[[#This Row],[ID_MASSA]],tbl_de_massas[id_massa],tbl_de_massas[cpf],"--",0,1)</f>
        <v>12923841310</v>
      </c>
      <c r="C150" t="s">
        <v>2412</v>
      </c>
      <c r="D150" t="str">
        <f>_xlfn.XLOOKUP(TBL_USUARIOS[[#This Row],[ID_MASSA]],tbl_de_massas[id_massa],tbl_de_massas[nome_completo],"--",0,1)</f>
        <v>Youssef Al-Otaibi</v>
      </c>
      <c r="E150" t="str">
        <f>_xlfn.XLOOKUP(TBL_USUARIOS[[#This Row],[ID_MASSA]],tbl_de_massas[id_massa],tbl_de_massas[cartao_fisico_numero],"--",0,1)</f>
        <v>4576 7460 4366 5432</v>
      </c>
      <c r="F150" t="str">
        <f>_xlfn.XLOOKUP(TBL_USUARIOS[[#This Row],[ID_MASSA]],tbl_de_massas[id_massa],tbl_de_massas[cartao_fisico_cvv],"--",0,1)</f>
        <v>333</v>
      </c>
      <c r="G150" t="str">
        <f>_xlfn.XLOOKUP(TBL_USUARIOS[[#This Row],[ID_MASSA]],tbl_de_massas[id_massa],tbl_de_massas[cartao_virtual_numero],"--",0,1)</f>
        <v/>
      </c>
      <c r="H150">
        <f>_xlfn.XLOOKUP(TBL_USUARIOS[[#This Row],[ID_MASSA]],tbl_de_massas[id_massa],tbl_de_massas[cartao_virtual_cvv],"--",0,1)</f>
        <v>0</v>
      </c>
    </row>
    <row r="151" spans="1:8" x14ac:dyDescent="0.25">
      <c r="A151" s="2" t="s">
        <v>2176</v>
      </c>
      <c r="B151" s="14" t="str">
        <f>_xlfn.XLOOKUP(TBL_USUARIOS[[#This Row],[ID_MASSA]],tbl_de_massas[id_massa],tbl_de_massas[cpf],"--",0,1)</f>
        <v>74478435715</v>
      </c>
      <c r="C151" t="s">
        <v>2413</v>
      </c>
      <c r="D151" t="str">
        <f>_xlfn.XLOOKUP(TBL_USUARIOS[[#This Row],[ID_MASSA]],tbl_de_massas[id_massa],tbl_de_massas[nome_completo],"--",0,1)</f>
        <v>Maximilian Mueller</v>
      </c>
      <c r="E151" t="str">
        <f>_xlfn.XLOOKUP(TBL_USUARIOS[[#This Row],[ID_MASSA]],tbl_de_massas[id_massa],tbl_de_massas[cartao_fisico_numero],"--",0,1)</f>
        <v>6505 0666 6916 0630</v>
      </c>
      <c r="F151" t="str">
        <f>_xlfn.XLOOKUP(TBL_USUARIOS[[#This Row],[ID_MASSA]],tbl_de_massas[id_massa],tbl_de_massas[cartao_fisico_cvv],"--",0,1)</f>
        <v>333</v>
      </c>
      <c r="G151" t="str">
        <f>_xlfn.XLOOKUP(TBL_USUARIOS[[#This Row],[ID_MASSA]],tbl_de_massas[id_massa],tbl_de_massas[cartao_virtual_numero],"--",0,1)</f>
        <v/>
      </c>
      <c r="H151">
        <f>_xlfn.XLOOKUP(TBL_USUARIOS[[#This Row],[ID_MASSA]],tbl_de_massas[id_massa],tbl_de_massas[cartao_virtual_cvv],"--",0,1)</f>
        <v>0</v>
      </c>
    </row>
    <row r="152" spans="1:8" x14ac:dyDescent="0.25">
      <c r="A152" s="2" t="s">
        <v>2177</v>
      </c>
      <c r="B152" s="14" t="str">
        <f>_xlfn.XLOOKUP(TBL_USUARIOS[[#This Row],[ID_MASSA]],tbl_de_massas[id_massa],tbl_de_massas[cpf],"--",0,1)</f>
        <v>79990005907</v>
      </c>
      <c r="C152" t="s">
        <v>2414</v>
      </c>
      <c r="D152" t="str">
        <f>_xlfn.XLOOKUP(TBL_USUARIOS[[#This Row],[ID_MASSA]],tbl_de_massas[id_massa],tbl_de_massas[nome_completo],"--",0,1)</f>
        <v>Fahad Al-Ghamdi</v>
      </c>
      <c r="E152" t="str">
        <f>_xlfn.XLOOKUP(TBL_USUARIOS[[#This Row],[ID_MASSA]],tbl_de_massas[id_massa],tbl_de_massas[cartao_fisico_numero],"--",0,1)</f>
        <v>4576 7460 4996 3843</v>
      </c>
      <c r="F152" t="str">
        <f>_xlfn.XLOOKUP(TBL_USUARIOS[[#This Row],[ID_MASSA]],tbl_de_massas[id_massa],tbl_de_massas[cartao_fisico_cvv],"--",0,1)</f>
        <v>333</v>
      </c>
      <c r="G152" t="str">
        <f>_xlfn.XLOOKUP(TBL_USUARIOS[[#This Row],[ID_MASSA]],tbl_de_massas[id_massa],tbl_de_massas[cartao_virtual_numero],"--",0,1)</f>
        <v/>
      </c>
      <c r="H152">
        <f>_xlfn.XLOOKUP(TBL_USUARIOS[[#This Row],[ID_MASSA]],tbl_de_massas[id_massa],tbl_de_massas[cartao_virtual_cvv],"--",0,1)</f>
        <v>0</v>
      </c>
    </row>
    <row r="153" spans="1:8" x14ac:dyDescent="0.25">
      <c r="A153" s="2" t="s">
        <v>2178</v>
      </c>
      <c r="B153" s="14" t="str">
        <f>_xlfn.XLOOKUP(TBL_USUARIOS[[#This Row],[ID_MASSA]],tbl_de_massas[id_massa],tbl_de_massas[cpf],"--",0,1)</f>
        <v>65921979198</v>
      </c>
      <c r="C153" t="s">
        <v>2415</v>
      </c>
      <c r="D153" t="str">
        <f>_xlfn.XLOOKUP(TBL_USUARIOS[[#This Row],[ID_MASSA]],tbl_de_massas[id_massa],tbl_de_massas[nome_completo],"--",0,1)</f>
        <v>Olivia Elizabeth Davis</v>
      </c>
      <c r="E153" t="str">
        <f>_xlfn.XLOOKUP(TBL_USUARIOS[[#This Row],[ID_MASSA]],tbl_de_massas[id_massa],tbl_de_massas[cartao_fisico_numero],"--",0,1)</f>
        <v>3782 964484 9713</v>
      </c>
      <c r="F153" t="str">
        <f>_xlfn.XLOOKUP(TBL_USUARIOS[[#This Row],[ID_MASSA]],tbl_de_massas[id_massa],tbl_de_massas[cartao_fisico_cvv],"--",0,1)</f>
        <v>8821</v>
      </c>
      <c r="G153" t="str">
        <f>_xlfn.XLOOKUP(TBL_USUARIOS[[#This Row],[ID_MASSA]],tbl_de_massas[id_massa],tbl_de_massas[cartao_virtual_numero],"--",0,1)</f>
        <v/>
      </c>
      <c r="H153">
        <f>_xlfn.XLOOKUP(TBL_USUARIOS[[#This Row],[ID_MASSA]],tbl_de_massas[id_massa],tbl_de_massas[cartao_virtual_cvv],"--",0,1)</f>
        <v>0</v>
      </c>
    </row>
    <row r="154" spans="1:8" x14ac:dyDescent="0.25">
      <c r="A154" s="2" t="s">
        <v>2179</v>
      </c>
      <c r="B154" s="14" t="str">
        <f>_xlfn.XLOOKUP(TBL_USUARIOS[[#This Row],[ID_MASSA]],tbl_de_massas[id_massa],tbl_de_massas[cpf],"--",0,1)</f>
        <v>13912221138</v>
      </c>
      <c r="C154" t="s">
        <v>2416</v>
      </c>
      <c r="D154" t="str">
        <f>_xlfn.XLOOKUP(TBL_USUARIOS[[#This Row],[ID_MASSA]],tbl_de_massas[id_massa],tbl_de_massas[nome_completo],"--",0,1)</f>
        <v>Lukas Schneider</v>
      </c>
      <c r="E154" t="str">
        <f>_xlfn.XLOOKUP(TBL_USUARIOS[[#This Row],[ID_MASSA]],tbl_de_massas[id_massa],tbl_de_massas[cartao_fisico_numero],"--",0,1)</f>
        <v>3782 760745 3409</v>
      </c>
      <c r="F154" t="str">
        <f>_xlfn.XLOOKUP(TBL_USUARIOS[[#This Row],[ID_MASSA]],tbl_de_massas[id_massa],tbl_de_massas[cartao_fisico_cvv],"--",0,1)</f>
        <v>8821</v>
      </c>
      <c r="G154" t="str">
        <f>_xlfn.XLOOKUP(TBL_USUARIOS[[#This Row],[ID_MASSA]],tbl_de_massas[id_massa],tbl_de_massas[cartao_virtual_numero],"--",0,1)</f>
        <v/>
      </c>
      <c r="H154">
        <f>_xlfn.XLOOKUP(TBL_USUARIOS[[#This Row],[ID_MASSA]],tbl_de_massas[id_massa],tbl_de_massas[cartao_virtual_cvv],"--",0,1)</f>
        <v>0</v>
      </c>
    </row>
    <row r="155" spans="1:8" x14ac:dyDescent="0.25">
      <c r="A155" s="2" t="s">
        <v>2180</v>
      </c>
      <c r="B155" s="14" t="str">
        <f>_xlfn.XLOOKUP(TBL_USUARIOS[[#This Row],[ID_MASSA]],tbl_de_massas[id_massa],tbl_de_massas[cpf],"--",0,1)</f>
        <v>16618184630</v>
      </c>
      <c r="C155" t="s">
        <v>2417</v>
      </c>
      <c r="D155" t="str">
        <f>_xlfn.XLOOKUP(TBL_USUARIOS[[#This Row],[ID_MASSA]],tbl_de_massas[id_massa],tbl_de_massas[nome_completo],"--",0,1)</f>
        <v>Kenji Sato</v>
      </c>
      <c r="E155" t="str">
        <f>_xlfn.XLOOKUP(TBL_USUARIOS[[#This Row],[ID_MASSA]],tbl_de_massas[id_massa],tbl_de_massas[cartao_fisico_numero],"--",0,1)</f>
        <v>6062 8200 1410 7804</v>
      </c>
      <c r="F155" t="str">
        <f>_xlfn.XLOOKUP(TBL_USUARIOS[[#This Row],[ID_MASSA]],tbl_de_massas[id_massa],tbl_de_massas[cartao_fisico_cvv],"--",0,1)</f>
        <v>333</v>
      </c>
      <c r="G155" t="str">
        <f>_xlfn.XLOOKUP(TBL_USUARIOS[[#This Row],[ID_MASSA]],tbl_de_massas[id_massa],tbl_de_massas[cartao_virtual_numero],"--",0,1)</f>
        <v/>
      </c>
      <c r="H155">
        <f>_xlfn.XLOOKUP(TBL_USUARIOS[[#This Row],[ID_MASSA]],tbl_de_massas[id_massa],tbl_de_massas[cartao_virtual_cvv],"--",0,1)</f>
        <v>0</v>
      </c>
    </row>
    <row r="156" spans="1:8" x14ac:dyDescent="0.25">
      <c r="A156" s="2" t="s">
        <v>2181</v>
      </c>
      <c r="B156" s="14" t="str">
        <f>_xlfn.XLOOKUP(TBL_USUARIOS[[#This Row],[ID_MASSA]],tbl_de_massas[id_massa],tbl_de_massas[cpf],"--",0,1)</f>
        <v>88312964185</v>
      </c>
      <c r="C156" t="s">
        <v>2418</v>
      </c>
      <c r="D156" t="str">
        <f>_xlfn.XLOOKUP(TBL_USUARIOS[[#This Row],[ID_MASSA]],tbl_de_massas[id_massa],tbl_de_massas[nome_completo],"--",0,1)</f>
        <v>Hannah Fischer</v>
      </c>
      <c r="E156" t="str">
        <f>_xlfn.XLOOKUP(TBL_USUARIOS[[#This Row],[ID_MASSA]],tbl_de_massas[id_massa],tbl_de_massas[cartao_fisico_numero],"--",0,1)</f>
        <v>4576 7460 2950 2106</v>
      </c>
      <c r="F156" t="str">
        <f>_xlfn.XLOOKUP(TBL_USUARIOS[[#This Row],[ID_MASSA]],tbl_de_massas[id_massa],tbl_de_massas[cartao_fisico_cvv],"--",0,1)</f>
        <v>333</v>
      </c>
      <c r="G156" t="str">
        <f>_xlfn.XLOOKUP(TBL_USUARIOS[[#This Row],[ID_MASSA]],tbl_de_massas[id_massa],tbl_de_massas[cartao_virtual_numero],"--",0,1)</f>
        <v/>
      </c>
      <c r="H156">
        <f>_xlfn.XLOOKUP(TBL_USUARIOS[[#This Row],[ID_MASSA]],tbl_de_massas[id_massa],tbl_de_massas[cartao_virtual_cvv],"--",0,1)</f>
        <v>0</v>
      </c>
    </row>
    <row r="157" spans="1:8" x14ac:dyDescent="0.25">
      <c r="A157" s="2" t="s">
        <v>2182</v>
      </c>
      <c r="B157" s="14" t="str">
        <f>_xlfn.XLOOKUP(TBL_USUARIOS[[#This Row],[ID_MASSA]],tbl_de_massas[id_massa],tbl_de_massas[cpf],"--",0,1)</f>
        <v>47783749321</v>
      </c>
      <c r="C157" t="s">
        <v>2419</v>
      </c>
      <c r="D157" t="str">
        <f>_xlfn.XLOOKUP(TBL_USUARIOS[[#This Row],[ID_MASSA]],tbl_de_massas[id_massa],tbl_de_massas[nome_completo],"--",0,1)</f>
        <v>Haewon Jung</v>
      </c>
      <c r="E157" t="str">
        <f>_xlfn.XLOOKUP(TBL_USUARIOS[[#This Row],[ID_MASSA]],tbl_de_massas[id_massa],tbl_de_massas[cartao_fisico_numero],"--",0,1)</f>
        <v>5442 7460 2604 6712</v>
      </c>
      <c r="F157" t="str">
        <f>_xlfn.XLOOKUP(TBL_USUARIOS[[#This Row],[ID_MASSA]],tbl_de_massas[id_massa],tbl_de_massas[cartao_fisico_cvv],"--",0,1)</f>
        <v>333</v>
      </c>
      <c r="G157" t="str">
        <f>_xlfn.XLOOKUP(TBL_USUARIOS[[#This Row],[ID_MASSA]],tbl_de_massas[id_massa],tbl_de_massas[cartao_virtual_numero],"--",0,1)</f>
        <v/>
      </c>
      <c r="H157">
        <f>_xlfn.XLOOKUP(TBL_USUARIOS[[#This Row],[ID_MASSA]],tbl_de_massas[id_massa],tbl_de_massas[cartao_virtual_cvv],"--",0,1)</f>
        <v>0</v>
      </c>
    </row>
    <row r="158" spans="1:8" x14ac:dyDescent="0.25">
      <c r="A158" s="2" t="s">
        <v>2183</v>
      </c>
      <c r="B158" s="14" t="str">
        <f>_xlfn.XLOOKUP(TBL_USUARIOS[[#This Row],[ID_MASSA]],tbl_de_massas[id_massa],tbl_de_massas[cpf],"--",0,1)</f>
        <v>42062517700</v>
      </c>
      <c r="C158" t="s">
        <v>2420</v>
      </c>
      <c r="D158" t="str">
        <f>_xlfn.XLOOKUP(TBL_USUARIOS[[#This Row],[ID_MASSA]],tbl_de_massas[id_massa],tbl_de_massas[nome_completo],"--",0,1)</f>
        <v>Fahad Al-Ghamdi</v>
      </c>
      <c r="E158" t="str">
        <f>_xlfn.XLOOKUP(TBL_USUARIOS[[#This Row],[ID_MASSA]],tbl_de_massas[id_massa],tbl_de_massas[cartao_fisico_numero],"--",0,1)</f>
        <v>6062 8200 1789 5908</v>
      </c>
      <c r="F158" t="str">
        <f>_xlfn.XLOOKUP(TBL_USUARIOS[[#This Row],[ID_MASSA]],tbl_de_massas[id_massa],tbl_de_massas[cartao_fisico_cvv],"--",0,1)</f>
        <v>333</v>
      </c>
      <c r="G158" t="str">
        <f>_xlfn.XLOOKUP(TBL_USUARIOS[[#This Row],[ID_MASSA]],tbl_de_massas[id_massa],tbl_de_massas[cartao_virtual_numero],"--",0,1)</f>
        <v/>
      </c>
      <c r="H158">
        <f>_xlfn.XLOOKUP(TBL_USUARIOS[[#This Row],[ID_MASSA]],tbl_de_massas[id_massa],tbl_de_massas[cartao_virtual_cvv],"--",0,1)</f>
        <v>0</v>
      </c>
    </row>
    <row r="159" spans="1:8" x14ac:dyDescent="0.25">
      <c r="A159" s="2" t="s">
        <v>2184</v>
      </c>
      <c r="B159" s="14" t="str">
        <f>_xlfn.XLOOKUP(TBL_USUARIOS[[#This Row],[ID_MASSA]],tbl_de_massas[id_massa],tbl_de_massas[cpf],"--",0,1)</f>
        <v>30857462261</v>
      </c>
      <c r="C159" t="s">
        <v>2421</v>
      </c>
      <c r="D159" t="str">
        <f>_xlfn.XLOOKUP(TBL_USUARIOS[[#This Row],[ID_MASSA]],tbl_de_massas[id_massa],tbl_de_massas[nome_completo],"--",0,1)</f>
        <v>William Robert Miller</v>
      </c>
      <c r="E159" t="str">
        <f>_xlfn.XLOOKUP(TBL_USUARIOS[[#This Row],[ID_MASSA]],tbl_de_massas[id_massa],tbl_de_massas[cartao_fisico_numero],"--",0,1)</f>
        <v>3782 307314 7663</v>
      </c>
      <c r="F159" t="str">
        <f>_xlfn.XLOOKUP(TBL_USUARIOS[[#This Row],[ID_MASSA]],tbl_de_massas[id_massa],tbl_de_massas[cartao_fisico_cvv],"--",0,1)</f>
        <v>8821</v>
      </c>
      <c r="G159" t="str">
        <f>_xlfn.XLOOKUP(TBL_USUARIOS[[#This Row],[ID_MASSA]],tbl_de_massas[id_massa],tbl_de_massas[cartao_virtual_numero],"--",0,1)</f>
        <v/>
      </c>
      <c r="H159">
        <f>_xlfn.XLOOKUP(TBL_USUARIOS[[#This Row],[ID_MASSA]],tbl_de_massas[id_massa],tbl_de_massas[cartao_virtual_cvv],"--",0,1)</f>
        <v>0</v>
      </c>
    </row>
    <row r="160" spans="1:8" x14ac:dyDescent="0.25">
      <c r="A160" s="2" t="s">
        <v>2185</v>
      </c>
      <c r="B160" s="14" t="str">
        <f>_xlfn.XLOOKUP(TBL_USUARIOS[[#This Row],[ID_MASSA]],tbl_de_massas[id_massa],tbl_de_massas[cpf],"--",0,1)</f>
        <v>88712484814</v>
      </c>
      <c r="C160" t="s">
        <v>2422</v>
      </c>
      <c r="D160" t="str">
        <f>_xlfn.XLOOKUP(TBL_USUARIOS[[#This Row],[ID_MASSA]],tbl_de_massas[id_massa],tbl_de_massas[nome_completo],"--",0,1)</f>
        <v>Camille Martin</v>
      </c>
      <c r="E160" t="str">
        <f>_xlfn.XLOOKUP(TBL_USUARIOS[[#This Row],[ID_MASSA]],tbl_de_massas[id_massa],tbl_de_massas[cartao_fisico_numero],"--",0,1)</f>
        <v>3782 720223 5276</v>
      </c>
      <c r="F160" t="str">
        <f>_xlfn.XLOOKUP(TBL_USUARIOS[[#This Row],[ID_MASSA]],tbl_de_massas[id_massa],tbl_de_massas[cartao_fisico_cvv],"--",0,1)</f>
        <v>8821</v>
      </c>
      <c r="G160" t="str">
        <f>_xlfn.XLOOKUP(TBL_USUARIOS[[#This Row],[ID_MASSA]],tbl_de_massas[id_massa],tbl_de_massas[cartao_virtual_numero],"--",0,1)</f>
        <v/>
      </c>
      <c r="H160">
        <f>_xlfn.XLOOKUP(TBL_USUARIOS[[#This Row],[ID_MASSA]],tbl_de_massas[id_massa],tbl_de_massas[cartao_virtual_cvv],"--",0,1)</f>
        <v>0</v>
      </c>
    </row>
    <row r="161" spans="1:8" x14ac:dyDescent="0.25">
      <c r="A161" s="2" t="s">
        <v>2186</v>
      </c>
      <c r="B161" s="14" t="str">
        <f>_xlfn.XLOOKUP(TBL_USUARIOS[[#This Row],[ID_MASSA]],tbl_de_massas[id_massa],tbl_de_massas[cpf],"--",0,1)</f>
        <v>30423481053</v>
      </c>
      <c r="C161" t="s">
        <v>2423</v>
      </c>
      <c r="D161" t="str">
        <f>_xlfn.XLOOKUP(TBL_USUARIOS[[#This Row],[ID_MASSA]],tbl_de_massas[id_massa],tbl_de_massas[nome_completo],"--",0,1)</f>
        <v>Joaquin Gonzalez</v>
      </c>
      <c r="E161" t="str">
        <f>_xlfn.XLOOKUP(TBL_USUARIOS[[#This Row],[ID_MASSA]],tbl_de_massas[id_massa],tbl_de_massas[cartao_fisico_numero],"--",0,1)</f>
        <v>6062 8200 2812 3053</v>
      </c>
      <c r="F161" t="str">
        <f>_xlfn.XLOOKUP(TBL_USUARIOS[[#This Row],[ID_MASSA]],tbl_de_massas[id_massa],tbl_de_massas[cartao_fisico_cvv],"--",0,1)</f>
        <v>333</v>
      </c>
      <c r="G161" t="str">
        <f>_xlfn.XLOOKUP(TBL_USUARIOS[[#This Row],[ID_MASSA]],tbl_de_massas[id_massa],tbl_de_massas[cartao_virtual_numero],"--",0,1)</f>
        <v/>
      </c>
      <c r="H161">
        <f>_xlfn.XLOOKUP(TBL_USUARIOS[[#This Row],[ID_MASSA]],tbl_de_massas[id_massa],tbl_de_massas[cartao_virtual_cvv],"--",0,1)</f>
        <v>0</v>
      </c>
    </row>
    <row r="162" spans="1:8" x14ac:dyDescent="0.25">
      <c r="A162" s="2" t="s">
        <v>2187</v>
      </c>
      <c r="B162" s="14" t="str">
        <f>_xlfn.XLOOKUP(TBL_USUARIOS[[#This Row],[ID_MASSA]],tbl_de_massas[id_massa],tbl_de_massas[cpf],"--",0,1)</f>
        <v>00238338827</v>
      </c>
      <c r="C162" t="s">
        <v>2424</v>
      </c>
      <c r="D162" t="str">
        <f>_xlfn.XLOOKUP(TBL_USUARIOS[[#This Row],[ID_MASSA]],tbl_de_massas[id_massa],tbl_de_massas[nome_completo],"--",0,1)</f>
        <v>Lucas Gabriel Ferreira</v>
      </c>
      <c r="E162" t="str">
        <f>_xlfn.XLOOKUP(TBL_USUARIOS[[#This Row],[ID_MASSA]],tbl_de_massas[id_massa],tbl_de_massas[cartao_fisico_numero],"--",0,1)</f>
        <v>3782 493613 7137</v>
      </c>
      <c r="F162" t="str">
        <f>_xlfn.XLOOKUP(TBL_USUARIOS[[#This Row],[ID_MASSA]],tbl_de_massas[id_massa],tbl_de_massas[cartao_fisico_cvv],"--",0,1)</f>
        <v>8821</v>
      </c>
      <c r="G162" t="str">
        <f>_xlfn.XLOOKUP(TBL_USUARIOS[[#This Row],[ID_MASSA]],tbl_de_massas[id_massa],tbl_de_massas[cartao_virtual_numero],"--",0,1)</f>
        <v/>
      </c>
      <c r="H162">
        <f>_xlfn.XLOOKUP(TBL_USUARIOS[[#This Row],[ID_MASSA]],tbl_de_massas[id_massa],tbl_de_massas[cartao_virtual_cvv],"--",0,1)</f>
        <v>0</v>
      </c>
    </row>
    <row r="163" spans="1:8" x14ac:dyDescent="0.25">
      <c r="A163" s="2" t="s">
        <v>2188</v>
      </c>
      <c r="B163" s="14" t="str">
        <f>_xlfn.XLOOKUP(TBL_USUARIOS[[#This Row],[ID_MASSA]],tbl_de_massas[id_massa],tbl_de_massas[cpf],"--",0,1)</f>
        <v>31415926535</v>
      </c>
      <c r="C163" t="s">
        <v>2425</v>
      </c>
      <c r="D163" t="str">
        <f>_xlfn.XLOOKUP(TBL_USUARIOS[[#This Row],[ID_MASSA]],tbl_de_massas[id_massa],tbl_de_massas[nome_completo],"--",0,1)</f>
        <v>Teste Solda Evento</v>
      </c>
      <c r="E163" t="str">
        <f>_xlfn.XLOOKUP(TBL_USUARIOS[[#This Row],[ID_MASSA]],tbl_de_massas[id_massa],tbl_de_massas[cartao_fisico_numero],"--",0,1)</f>
        <v>4576 7460 8954 9038</v>
      </c>
      <c r="F163" t="str">
        <f>_xlfn.XLOOKUP(TBL_USUARIOS[[#This Row],[ID_MASSA]],tbl_de_massas[id_massa],tbl_de_massas[cartao_fisico_cvv],"--",0,1)</f>
        <v>333</v>
      </c>
      <c r="G163" t="str">
        <f>_xlfn.XLOOKUP(TBL_USUARIOS[[#This Row],[ID_MASSA]],tbl_de_massas[id_massa],tbl_de_massas[cartao_virtual_numero],"--",0,1)</f>
        <v/>
      </c>
      <c r="H163">
        <f>_xlfn.XLOOKUP(TBL_USUARIOS[[#This Row],[ID_MASSA]],tbl_de_massas[id_massa],tbl_de_massas[cartao_virtual_cvv],"--",0,1)</f>
        <v>0</v>
      </c>
    </row>
    <row r="164" spans="1:8" x14ac:dyDescent="0.25">
      <c r="A164" s="2" t="s">
        <v>2189</v>
      </c>
      <c r="B164" s="14" t="str">
        <f>_xlfn.XLOOKUP(TBL_USUARIOS[[#This Row],[ID_MASSA]],tbl_de_massas[id_massa],tbl_de_massas[cpf],"--",0,1)</f>
        <v>27182818284</v>
      </c>
      <c r="C164" t="s">
        <v>2426</v>
      </c>
      <c r="D164" t="str">
        <f>_xlfn.XLOOKUP(TBL_USUARIOS[[#This Row],[ID_MASSA]],tbl_de_massas[id_massa],tbl_de_massas[nome_completo],"--",0,1)</f>
        <v>Sonda Evento Bus</v>
      </c>
      <c r="E164" t="str">
        <f>_xlfn.XLOOKUP(TBL_USUARIOS[[#This Row],[ID_MASSA]],tbl_de_massas[id_massa],tbl_de_massas[cartao_fisico_numero],"--",0,1)</f>
        <v>6505 0666 7067 1211</v>
      </c>
      <c r="F164" t="str">
        <f>_xlfn.XLOOKUP(TBL_USUARIOS[[#This Row],[ID_MASSA]],tbl_de_massas[id_massa],tbl_de_massas[cartao_fisico_cvv],"--",0,1)</f>
        <v>333</v>
      </c>
      <c r="G164" t="str">
        <f>_xlfn.XLOOKUP(TBL_USUARIOS[[#This Row],[ID_MASSA]],tbl_de_massas[id_massa],tbl_de_massas[cartao_virtual_numero],"--",0,1)</f>
        <v/>
      </c>
      <c r="H164">
        <f>_xlfn.XLOOKUP(TBL_USUARIOS[[#This Row],[ID_MASSA]],tbl_de_massas[id_massa],tbl_de_massas[cartao_virtual_cvv],"--",0,1)</f>
        <v>0</v>
      </c>
    </row>
    <row r="165" spans="1:8" x14ac:dyDescent="0.25">
      <c r="A165" s="2" t="s">
        <v>2190</v>
      </c>
      <c r="B165" s="14" t="str">
        <f>_xlfn.XLOOKUP(TBL_USUARIOS[[#This Row],[ID_MASSA]],tbl_de_massas[id_massa],tbl_de_massas[cpf],"--",0,1)</f>
        <v>16180339887</v>
      </c>
      <c r="C165" t="s">
        <v>2427</v>
      </c>
      <c r="D165" t="str">
        <f>_xlfn.XLOOKUP(TBL_USUARIOS[[#This Row],[ID_MASSA]],tbl_de_massas[id_massa],tbl_de_massas[nome_completo],"--",0,1)</f>
        <v>Solda Final Teste</v>
      </c>
      <c r="E165" t="str">
        <f>_xlfn.XLOOKUP(TBL_USUARIOS[[#This Row],[ID_MASSA]],tbl_de_massas[id_massa],tbl_de_massas[cartao_fisico_numero],"--",0,1)</f>
        <v>3782 971602 1482</v>
      </c>
      <c r="F165" t="str">
        <f>_xlfn.XLOOKUP(TBL_USUARIOS[[#This Row],[ID_MASSA]],tbl_de_massas[id_massa],tbl_de_massas[cartao_fisico_cvv],"--",0,1)</f>
        <v>8821</v>
      </c>
      <c r="G165" t="str">
        <f>_xlfn.XLOOKUP(TBL_USUARIOS[[#This Row],[ID_MASSA]],tbl_de_massas[id_massa],tbl_de_massas[cartao_virtual_numero],"--",0,1)</f>
        <v/>
      </c>
      <c r="H165">
        <f>_xlfn.XLOOKUP(TBL_USUARIOS[[#This Row],[ID_MASSA]],tbl_de_massas[id_massa],tbl_de_massas[cartao_virtual_cvv],"--",0,1)</f>
        <v>0</v>
      </c>
    </row>
    <row r="166" spans="1:8" x14ac:dyDescent="0.25">
      <c r="A166" s="2" t="s">
        <v>2191</v>
      </c>
      <c r="B166" s="14" t="str">
        <f>_xlfn.XLOOKUP(TBL_USUARIOS[[#This Row],[ID_MASSA]],tbl_de_massas[id_massa],tbl_de_massas[cpf],"--",0,1)</f>
        <v>70000129979</v>
      </c>
      <c r="C166" t="s">
        <v>2428</v>
      </c>
      <c r="D166" t="str">
        <f>_xlfn.XLOOKUP(TBL_USUARIOS[[#This Row],[ID_MASSA]],tbl_de_massas[id_massa],tbl_de_massas[nome_completo],"--",0,1)</f>
        <v>Comprador Monitor</v>
      </c>
      <c r="E166" t="str">
        <f>_xlfn.XLOOKUP(TBL_USUARIOS[[#This Row],[ID_MASSA]],tbl_de_massas[id_massa],tbl_de_massas[cartao_fisico_numero],"--",0,1)</f>
        <v>4576 7460 6058 7283</v>
      </c>
      <c r="F166" t="str">
        <f>_xlfn.XLOOKUP(TBL_USUARIOS[[#This Row],[ID_MASSA]],tbl_de_massas[id_massa],tbl_de_massas[cartao_fisico_cvv],"--",0,1)</f>
        <v>333</v>
      </c>
      <c r="G166" t="str">
        <f>_xlfn.XLOOKUP(TBL_USUARIOS[[#This Row],[ID_MASSA]],tbl_de_massas[id_massa],tbl_de_massas[cartao_virtual_numero],"--",0,1)</f>
        <v/>
      </c>
      <c r="H166">
        <f>_xlfn.XLOOKUP(TBL_USUARIOS[[#This Row],[ID_MASSA]],tbl_de_massas[id_massa],tbl_de_massas[cartao_virtual_cvv],"--",0,1)</f>
        <v>0</v>
      </c>
    </row>
    <row r="167" spans="1:8" x14ac:dyDescent="0.25">
      <c r="A167" s="2" t="s">
        <v>2192</v>
      </c>
      <c r="B167" s="14" t="str">
        <f>_xlfn.XLOOKUP(TBL_USUARIOS[[#This Row],[ID_MASSA]],tbl_de_massas[id_massa],tbl_de_massas[cpf],"--",0,1)</f>
        <v>71003941242</v>
      </c>
      <c r="C167" t="s">
        <v>2429</v>
      </c>
      <c r="D167" t="str">
        <f>_xlfn.XLOOKUP(TBL_USUARIOS[[#This Row],[ID_MASSA]],tbl_de_massas[id_massa],tbl_de_massas[nome_completo],"--",0,1)</f>
        <v>Dual Teste</v>
      </c>
      <c r="E167" t="str">
        <f>_xlfn.XLOOKUP(TBL_USUARIOS[[#This Row],[ID_MASSA]],tbl_de_massas[id_massa],tbl_de_massas[cartao_fisico_numero],"--",0,1)</f>
        <v>4576 7460 3577 0487</v>
      </c>
      <c r="F167" t="str">
        <f>_xlfn.XLOOKUP(TBL_USUARIOS[[#This Row],[ID_MASSA]],tbl_de_massas[id_massa],tbl_de_massas[cartao_fisico_cvv],"--",0,1)</f>
        <v>333</v>
      </c>
      <c r="G167" t="str">
        <f>_xlfn.XLOOKUP(TBL_USUARIOS[[#This Row],[ID_MASSA]],tbl_de_massas[id_massa],tbl_de_massas[cartao_virtual_numero],"--",0,1)</f>
        <v/>
      </c>
      <c r="H167">
        <f>_xlfn.XLOOKUP(TBL_USUARIOS[[#This Row],[ID_MASSA]],tbl_de_massas[id_massa],tbl_de_massas[cartao_virtual_cvv],"--",0,1)</f>
        <v>0</v>
      </c>
    </row>
    <row r="168" spans="1:8" x14ac:dyDescent="0.25">
      <c r="A168" s="2" t="s">
        <v>2193</v>
      </c>
      <c r="B168" s="14" t="str">
        <f>_xlfn.XLOOKUP(TBL_USUARIOS[[#This Row],[ID_MASSA]],tbl_de_massas[id_massa],tbl_de_massas[cpf],"--",0,1)</f>
        <v>30113512287</v>
      </c>
      <c r="C168" t="s">
        <v>2430</v>
      </c>
      <c r="D168" t="str">
        <f>_xlfn.XLOOKUP(TBL_USUARIOS[[#This Row],[ID_MASSA]],tbl_de_massas[id_massa],tbl_de_massas[nome_completo],"--",0,1)</f>
        <v>Armel Michel</v>
      </c>
      <c r="E168" t="str">
        <f>_xlfn.XLOOKUP(TBL_USUARIOS[[#This Row],[ID_MASSA]],tbl_de_massas[id_massa],tbl_de_massas[cartao_fisico_numero],"--",0,1)</f>
        <v>5185 4460 8337 0511</v>
      </c>
      <c r="F168" t="str">
        <f>_xlfn.XLOOKUP(TBL_USUARIOS[[#This Row],[ID_MASSA]],tbl_de_massas[id_massa],tbl_de_massas[cartao_fisico_cvv],"--",0,1)</f>
        <v>287</v>
      </c>
      <c r="G168" t="str">
        <f>_xlfn.XLOOKUP(TBL_USUARIOS[[#This Row],[ID_MASSA]],tbl_de_massas[id_massa],tbl_de_massas[cartao_virtual_numero],"--",0,1)</f>
        <v/>
      </c>
      <c r="H168">
        <f>_xlfn.XLOOKUP(TBL_USUARIOS[[#This Row],[ID_MASSA]],tbl_de_massas[id_massa],tbl_de_massas[cartao_virtual_cvv],"--",0,1)</f>
        <v>0</v>
      </c>
    </row>
    <row r="169" spans="1:8" x14ac:dyDescent="0.25">
      <c r="A169" s="2" t="s">
        <v>2194</v>
      </c>
      <c r="B169" s="14" t="str">
        <f>_xlfn.XLOOKUP(TBL_USUARIOS[[#This Row],[ID_MASSA]],tbl_de_massas[id_massa],tbl_de_massas[cpf],"--",0,1)</f>
        <v>87300736009</v>
      </c>
      <c r="C169" t="s">
        <v>2431</v>
      </c>
      <c r="D169" t="str">
        <f>_xlfn.XLOOKUP(TBL_USUARIOS[[#This Row],[ID_MASSA]],tbl_de_massas[id_massa],tbl_de_massas[nome_completo],"--",0,1)</f>
        <v>Khalid Al-Zahrani</v>
      </c>
      <c r="E169" t="str">
        <f>_xlfn.XLOOKUP(TBL_USUARIOS[[#This Row],[ID_MASSA]],tbl_de_massas[id_massa],tbl_de_massas[cartao_fisico_numero],"--",0,1)</f>
        <v>6062 8200 8940 1249</v>
      </c>
      <c r="F169" t="str">
        <f>_xlfn.XLOOKUP(TBL_USUARIOS[[#This Row],[ID_MASSA]],tbl_de_massas[id_massa],tbl_de_massas[cartao_fisico_cvv],"--",0,1)</f>
        <v>333</v>
      </c>
      <c r="G169" t="str">
        <f>_xlfn.XLOOKUP(TBL_USUARIOS[[#This Row],[ID_MASSA]],tbl_de_massas[id_massa],tbl_de_massas[cartao_virtual_numero],"--",0,1)</f>
        <v/>
      </c>
      <c r="H169">
        <f>_xlfn.XLOOKUP(TBL_USUARIOS[[#This Row],[ID_MASSA]],tbl_de_massas[id_massa],tbl_de_massas[cartao_virtual_cvv],"--",0,1)</f>
        <v>0</v>
      </c>
    </row>
    <row r="170" spans="1:8" x14ac:dyDescent="0.25">
      <c r="A170" s="2" t="s">
        <v>2195</v>
      </c>
      <c r="B170" s="14" t="str">
        <f>_xlfn.XLOOKUP(TBL_USUARIOS[[#This Row],[ID_MASSA]],tbl_de_massas[id_massa],tbl_de_massas[cpf],"--",0,1)</f>
        <v>59127562468</v>
      </c>
      <c r="C170" t="s">
        <v>2432</v>
      </c>
      <c r="D170" t="str">
        <f>_xlfn.XLOOKUP(TBL_USUARIOS[[#This Row],[ID_MASSA]],tbl_de_massas[id_massa],tbl_de_massas[nome_completo],"--",0,1)</f>
        <v>Tariq Al-Mansoor</v>
      </c>
      <c r="E170" t="str">
        <f>_xlfn.XLOOKUP(TBL_USUARIOS[[#This Row],[ID_MASSA]],tbl_de_massas[id_massa],tbl_de_massas[cartao_fisico_numero],"--",0,1)</f>
        <v>5442 7460 9214 5172</v>
      </c>
      <c r="F170" t="str">
        <f>_xlfn.XLOOKUP(TBL_USUARIOS[[#This Row],[ID_MASSA]],tbl_de_massas[id_massa],tbl_de_massas[cartao_fisico_cvv],"--",0,1)</f>
        <v>333</v>
      </c>
      <c r="G170" t="str">
        <f>_xlfn.XLOOKUP(TBL_USUARIOS[[#This Row],[ID_MASSA]],tbl_de_massas[id_massa],tbl_de_massas[cartao_virtual_numero],"--",0,1)</f>
        <v/>
      </c>
      <c r="H170">
        <f>_xlfn.XLOOKUP(TBL_USUARIOS[[#This Row],[ID_MASSA]],tbl_de_massas[id_massa],tbl_de_massas[cartao_virtual_cvv],"--",0,1)</f>
        <v>0</v>
      </c>
    </row>
    <row r="171" spans="1:8" x14ac:dyDescent="0.25">
      <c r="A171" s="2" t="s">
        <v>2196</v>
      </c>
      <c r="B171" s="14" t="str">
        <f>_xlfn.XLOOKUP(TBL_USUARIOS[[#This Row],[ID_MASSA]],tbl_de_massas[id_massa],tbl_de_massas[cpf],"--",0,1)</f>
        <v>72605753522</v>
      </c>
      <c r="C171" t="s">
        <v>2433</v>
      </c>
      <c r="D171" t="str">
        <f>_xlfn.XLOOKUP(TBL_USUARIOS[[#This Row],[ID_MASSA]],tbl_de_massas[id_massa],tbl_de_massas[nome_completo],"--",0,1)</f>
        <v>Dohyun Choi</v>
      </c>
      <c r="E171" t="str">
        <f>_xlfn.XLOOKUP(TBL_USUARIOS[[#This Row],[ID_MASSA]],tbl_de_massas[id_massa],tbl_de_massas[cartao_fisico_numero],"--",0,1)</f>
        <v>4576 7460 9685 6188</v>
      </c>
      <c r="F171" t="str">
        <f>_xlfn.XLOOKUP(TBL_USUARIOS[[#This Row],[ID_MASSA]],tbl_de_massas[id_massa],tbl_de_massas[cartao_fisico_cvv],"--",0,1)</f>
        <v>333</v>
      </c>
      <c r="G171" t="str">
        <f>_xlfn.XLOOKUP(TBL_USUARIOS[[#This Row],[ID_MASSA]],tbl_de_massas[id_massa],tbl_de_massas[cartao_virtual_numero],"--",0,1)</f>
        <v/>
      </c>
      <c r="H171">
        <f>_xlfn.XLOOKUP(TBL_USUARIOS[[#This Row],[ID_MASSA]],tbl_de_massas[id_massa],tbl_de_massas[cartao_virtual_cvv],"--",0,1)</f>
        <v>0</v>
      </c>
    </row>
    <row r="172" spans="1:8" x14ac:dyDescent="0.25">
      <c r="A172" s="2" t="s">
        <v>2197</v>
      </c>
      <c r="B172" s="14" t="str">
        <f>_xlfn.XLOOKUP(TBL_USUARIOS[[#This Row],[ID_MASSA]],tbl_de_massas[id_massa],tbl_de_massas[cpf],"--",0,1)</f>
        <v>11004395108</v>
      </c>
      <c r="C172" t="s">
        <v>2434</v>
      </c>
      <c r="D172" t="str">
        <f>_xlfn.XLOOKUP(TBL_USUARIOS[[#This Row],[ID_MASSA]],tbl_de_massas[id_massa],tbl_de_massas[nome_completo],"--",0,1)</f>
        <v>Youssef Al-Otaibi</v>
      </c>
      <c r="E172" t="str">
        <f>_xlfn.XLOOKUP(TBL_USUARIOS[[#This Row],[ID_MASSA]],tbl_de_massas[id_massa],tbl_de_massas[cartao_fisico_numero],"--",0,1)</f>
        <v>3782 392688 5764</v>
      </c>
      <c r="F172" t="str">
        <f>_xlfn.XLOOKUP(TBL_USUARIOS[[#This Row],[ID_MASSA]],tbl_de_massas[id_massa],tbl_de_massas[cartao_fisico_cvv],"--",0,1)</f>
        <v>8821</v>
      </c>
      <c r="G172" t="str">
        <f>_xlfn.XLOOKUP(TBL_USUARIOS[[#This Row],[ID_MASSA]],tbl_de_massas[id_massa],tbl_de_massas[cartao_virtual_numero],"--",0,1)</f>
        <v/>
      </c>
      <c r="H172">
        <f>_xlfn.XLOOKUP(TBL_USUARIOS[[#This Row],[ID_MASSA]],tbl_de_massas[id_massa],tbl_de_massas[cartao_virtual_cvv],"--",0,1)</f>
        <v>0</v>
      </c>
    </row>
    <row r="173" spans="1:8" x14ac:dyDescent="0.25">
      <c r="A173" s="2" t="s">
        <v>2198</v>
      </c>
      <c r="B173" s="14" t="str">
        <f>_xlfn.XLOOKUP(TBL_USUARIOS[[#This Row],[ID_MASSA]],tbl_de_massas[id_massa],tbl_de_massas[cpf],"--",0,1)</f>
        <v>01843444259</v>
      </c>
      <c r="C173" t="s">
        <v>2435</v>
      </c>
      <c r="D173" t="str">
        <f>_xlfn.XLOOKUP(TBL_USUARIOS[[#This Row],[ID_MASSA]],tbl_de_massas[id_massa],tbl_de_massas[nome_completo],"--",0,1)</f>
        <v>Fatima Al-Harbi</v>
      </c>
      <c r="E173" t="str">
        <f>_xlfn.XLOOKUP(TBL_USUARIOS[[#This Row],[ID_MASSA]],tbl_de_massas[id_massa],tbl_de_massas[cartao_fisico_numero],"--",0,1)</f>
        <v>3782 296131 8895</v>
      </c>
      <c r="F173" t="str">
        <f>_xlfn.XLOOKUP(TBL_USUARIOS[[#This Row],[ID_MASSA]],tbl_de_massas[id_massa],tbl_de_massas[cartao_fisico_cvv],"--",0,1)</f>
        <v>8821</v>
      </c>
      <c r="G173" t="str">
        <f>_xlfn.XLOOKUP(TBL_USUARIOS[[#This Row],[ID_MASSA]],tbl_de_massas[id_massa],tbl_de_massas[cartao_virtual_numero],"--",0,1)</f>
        <v/>
      </c>
      <c r="H173">
        <f>_xlfn.XLOOKUP(TBL_USUARIOS[[#This Row],[ID_MASSA]],tbl_de_massas[id_massa],tbl_de_massas[cartao_virtual_cvv],"--",0,1)</f>
        <v>0</v>
      </c>
    </row>
    <row r="174" spans="1:8" x14ac:dyDescent="0.25">
      <c r="A174" s="2" t="s">
        <v>2199</v>
      </c>
      <c r="B174" s="14" t="str">
        <f>_xlfn.XLOOKUP(TBL_USUARIOS[[#This Row],[ID_MASSA]],tbl_de_massas[id_massa],tbl_de_massas[cpf],"--",0,1)</f>
        <v>49335289779</v>
      </c>
      <c r="C174" t="s">
        <v>2436</v>
      </c>
      <c r="D174" t="str">
        <f>_xlfn.XLOOKUP(TBL_USUARIOS[[#This Row],[ID_MASSA]],tbl_de_massas[id_massa],tbl_de_massas[nome_completo],"--",0,1)</f>
        <v>Bruno Henrique Alves</v>
      </c>
      <c r="E174" t="str">
        <f>_xlfn.XLOOKUP(TBL_USUARIOS[[#This Row],[ID_MASSA]],tbl_de_massas[id_massa],tbl_de_massas[cartao_fisico_numero],"--",0,1)</f>
        <v>4576 7460 2571 0727</v>
      </c>
      <c r="F174" t="str">
        <f>_xlfn.XLOOKUP(TBL_USUARIOS[[#This Row],[ID_MASSA]],tbl_de_massas[id_massa],tbl_de_massas[cartao_fisico_cvv],"--",0,1)</f>
        <v>333</v>
      </c>
      <c r="G174" t="str">
        <f>_xlfn.XLOOKUP(TBL_USUARIOS[[#This Row],[ID_MASSA]],tbl_de_massas[id_massa],tbl_de_massas[cartao_virtual_numero],"--",0,1)</f>
        <v/>
      </c>
      <c r="H174">
        <f>_xlfn.XLOOKUP(TBL_USUARIOS[[#This Row],[ID_MASSA]],tbl_de_massas[id_massa],tbl_de_massas[cartao_virtual_cvv],"--",0,1)</f>
        <v>0</v>
      </c>
    </row>
    <row r="175" spans="1:8" x14ac:dyDescent="0.25">
      <c r="A175" s="2" t="s">
        <v>2200</v>
      </c>
      <c r="B175" s="14" t="str">
        <f>_xlfn.XLOOKUP(TBL_USUARIOS[[#This Row],[ID_MASSA]],tbl_de_massas[id_massa],tbl_de_massas[cpf],"--",0,1)</f>
        <v>72314189884</v>
      </c>
      <c r="C175" t="s">
        <v>2437</v>
      </c>
      <c r="D175" t="str">
        <f>_xlfn.XLOOKUP(TBL_USUARIOS[[#This Row],[ID_MASSA]],tbl_de_massas[id_massa],tbl_de_massas[nome_completo],"--",0,1)</f>
        <v>Noura Al-Saud</v>
      </c>
      <c r="E175" t="str">
        <f>_xlfn.XLOOKUP(TBL_USUARIOS[[#This Row],[ID_MASSA]],tbl_de_massas[id_massa],tbl_de_massas[cartao_fisico_numero],"--",0,1)</f>
        <v>5442 7460 6181 5967</v>
      </c>
      <c r="F175" t="str">
        <f>_xlfn.XLOOKUP(TBL_USUARIOS[[#This Row],[ID_MASSA]],tbl_de_massas[id_massa],tbl_de_massas[cartao_fisico_cvv],"--",0,1)</f>
        <v>333</v>
      </c>
      <c r="G175" t="str">
        <f>_xlfn.XLOOKUP(TBL_USUARIOS[[#This Row],[ID_MASSA]],tbl_de_massas[id_massa],tbl_de_massas[cartao_virtual_numero],"--",0,1)</f>
        <v/>
      </c>
      <c r="H175">
        <f>_xlfn.XLOOKUP(TBL_USUARIOS[[#This Row],[ID_MASSA]],tbl_de_massas[id_massa],tbl_de_massas[cartao_virtual_cvv],"--",0,1)</f>
        <v>0</v>
      </c>
    </row>
    <row r="176" spans="1:8" x14ac:dyDescent="0.25">
      <c r="A176" s="2" t="s">
        <v>2201</v>
      </c>
      <c r="B176" s="14" t="str">
        <f>_xlfn.XLOOKUP(TBL_USUARIOS[[#This Row],[ID_MASSA]],tbl_de_massas[id_massa],tbl_de_massas[cpf],"--",0,1)</f>
        <v>88652173320</v>
      </c>
      <c r="C176" t="s">
        <v>2438</v>
      </c>
      <c r="D176" t="str">
        <f>_xlfn.XLOOKUP(TBL_USUARIOS[[#This Row],[ID_MASSA]],tbl_de_massas[id_massa],tbl_de_massas[nome_completo],"--",0,1)</f>
        <v>Hanako Watanabe</v>
      </c>
      <c r="E176" t="str">
        <f>_xlfn.XLOOKUP(TBL_USUARIOS[[#This Row],[ID_MASSA]],tbl_de_massas[id_massa],tbl_de_massas[cartao_fisico_numero],"--",0,1)</f>
        <v>4576 7460 7004 9583</v>
      </c>
      <c r="F176" t="str">
        <f>_xlfn.XLOOKUP(TBL_USUARIOS[[#This Row],[ID_MASSA]],tbl_de_massas[id_massa],tbl_de_massas[cartao_fisico_cvv],"--",0,1)</f>
        <v>333</v>
      </c>
      <c r="G176" t="str">
        <f>_xlfn.XLOOKUP(TBL_USUARIOS[[#This Row],[ID_MASSA]],tbl_de_massas[id_massa],tbl_de_massas[cartao_virtual_numero],"--",0,1)</f>
        <v/>
      </c>
      <c r="H176">
        <f>_xlfn.XLOOKUP(TBL_USUARIOS[[#This Row],[ID_MASSA]],tbl_de_massas[id_massa],tbl_de_massas[cartao_virtual_cvv],"--",0,1)</f>
        <v>0</v>
      </c>
    </row>
    <row r="177" spans="1:8" x14ac:dyDescent="0.25">
      <c r="A177" s="2" t="s">
        <v>2202</v>
      </c>
      <c r="B177" s="14" t="str">
        <f>_xlfn.XLOOKUP(TBL_USUARIOS[[#This Row],[ID_MASSA]],tbl_de_massas[id_massa],tbl_de_massas[cpf],"--",0,1)</f>
        <v>28177566814</v>
      </c>
      <c r="C177" t="s">
        <v>2439</v>
      </c>
      <c r="D177" t="str">
        <f>_xlfn.XLOOKUP(TBL_USUARIOS[[#This Row],[ID_MASSA]],tbl_de_massas[id_massa],tbl_de_massas[nome_completo],"--",0,1)</f>
        <v>Mariana Costa Silva</v>
      </c>
      <c r="E177" t="str">
        <f>_xlfn.XLOOKUP(TBL_USUARIOS[[#This Row],[ID_MASSA]],tbl_de_massas[id_massa],tbl_de_massas[cartao_fisico_numero],"--",0,1)</f>
        <v>3782 155660 6516</v>
      </c>
      <c r="F177" t="str">
        <f>_xlfn.XLOOKUP(TBL_USUARIOS[[#This Row],[ID_MASSA]],tbl_de_massas[id_massa],tbl_de_massas[cartao_fisico_cvv],"--",0,1)</f>
        <v>8821</v>
      </c>
      <c r="G177" t="str">
        <f>_xlfn.XLOOKUP(TBL_USUARIOS[[#This Row],[ID_MASSA]],tbl_de_massas[id_massa],tbl_de_massas[cartao_virtual_numero],"--",0,1)</f>
        <v/>
      </c>
      <c r="H177">
        <f>_xlfn.XLOOKUP(TBL_USUARIOS[[#This Row],[ID_MASSA]],tbl_de_massas[id_massa],tbl_de_massas[cartao_virtual_cvv],"--",0,1)</f>
        <v>0</v>
      </c>
    </row>
    <row r="178" spans="1:8" x14ac:dyDescent="0.25">
      <c r="A178" s="2" t="s">
        <v>2203</v>
      </c>
      <c r="B178" s="14" t="str">
        <f>_xlfn.XLOOKUP(TBL_USUARIOS[[#This Row],[ID_MASSA]],tbl_de_massas[id_massa],tbl_de_massas[cpf],"--",0,1)</f>
        <v>51172415331</v>
      </c>
      <c r="C178" t="s">
        <v>2440</v>
      </c>
      <c r="D178" t="str">
        <f>_xlfn.XLOOKUP(TBL_USUARIOS[[#This Row],[ID_MASSA]],tbl_de_massas[id_massa],tbl_de_massas[nome_completo],"--",0,1)</f>
        <v>Audrey Benoit</v>
      </c>
      <c r="E178" t="str">
        <f>_xlfn.XLOOKUP(TBL_USUARIOS[[#This Row],[ID_MASSA]],tbl_de_massas[id_massa],tbl_de_massas[cartao_fisico_numero],"--",0,1)</f>
        <v>5442 7460 3460 7138</v>
      </c>
      <c r="F178" t="str">
        <f>_xlfn.XLOOKUP(TBL_USUARIOS[[#This Row],[ID_MASSA]],tbl_de_massas[id_massa],tbl_de_massas[cartao_fisico_cvv],"--",0,1)</f>
        <v>331</v>
      </c>
      <c r="G178" t="str">
        <f>_xlfn.XLOOKUP(TBL_USUARIOS[[#This Row],[ID_MASSA]],tbl_de_massas[id_massa],tbl_de_massas[cartao_virtual_numero],"--",0,1)</f>
        <v/>
      </c>
      <c r="H178">
        <f>_xlfn.XLOOKUP(TBL_USUARIOS[[#This Row],[ID_MASSA]],tbl_de_massas[id_massa],tbl_de_massas[cartao_virtual_cvv],"--",0,1)</f>
        <v>0</v>
      </c>
    </row>
    <row r="179" spans="1:8" x14ac:dyDescent="0.25">
      <c r="A179" s="2" t="s">
        <v>2204</v>
      </c>
      <c r="B179" s="14" t="str">
        <f>_xlfn.XLOOKUP(TBL_USUARIOS[[#This Row],[ID_MASSA]],tbl_de_massas[id_massa],tbl_de_massas[cpf],"--",0,1)</f>
        <v>08813546270</v>
      </c>
      <c r="C179" t="s">
        <v>2441</v>
      </c>
      <c r="D179" t="str">
        <f>_xlfn.XLOOKUP(TBL_USUARIOS[[#This Row],[ID_MASSA]],tbl_de_massas[id_massa],tbl_de_massas[nome_completo],"--",0,1)</f>
        <v>Gaëlle Joly</v>
      </c>
      <c r="E179" t="str">
        <f>_xlfn.XLOOKUP(TBL_USUARIOS[[#This Row],[ID_MASSA]],tbl_de_massas[id_massa],tbl_de_massas[cartao_fisico_numero],"--",0,1)</f>
        <v>5373 6360 2204 3292</v>
      </c>
      <c r="F179" t="str">
        <f>_xlfn.XLOOKUP(TBL_USUARIOS[[#This Row],[ID_MASSA]],tbl_de_massas[id_massa],tbl_de_massas[cartao_fisico_cvv],"--",0,1)</f>
        <v>270</v>
      </c>
      <c r="G179" t="str">
        <f>_xlfn.XLOOKUP(TBL_USUARIOS[[#This Row],[ID_MASSA]],tbl_de_massas[id_massa],tbl_de_massas[cartao_virtual_numero],"--",0,1)</f>
        <v/>
      </c>
      <c r="H179">
        <f>_xlfn.XLOOKUP(TBL_USUARIOS[[#This Row],[ID_MASSA]],tbl_de_massas[id_massa],tbl_de_massas[cartao_virtual_cvv],"--",0,1)</f>
        <v>0</v>
      </c>
    </row>
    <row r="180" spans="1:8" x14ac:dyDescent="0.25">
      <c r="A180" s="2" t="s">
        <v>2205</v>
      </c>
      <c r="B180" s="14" t="str">
        <f>_xlfn.XLOOKUP(TBL_USUARIOS[[#This Row],[ID_MASSA]],tbl_de_massas[id_massa],tbl_de_massas[cpf],"--",0,1)</f>
        <v>85764469015</v>
      </c>
      <c r="C180" t="s">
        <v>2442</v>
      </c>
      <c r="D180" t="str">
        <f>_xlfn.XLOOKUP(TBL_USUARIOS[[#This Row],[ID_MASSA]],tbl_de_massas[id_massa],tbl_de_massas[nome_completo],"--",0,1)</f>
        <v>Hilaire Breton</v>
      </c>
      <c r="E180" t="str">
        <f>_xlfn.XLOOKUP(TBL_USUARIOS[[#This Row],[ID_MASSA]],tbl_de_massas[id_massa],tbl_de_massas[cartao_fisico_numero],"--",0,1)</f>
        <v>5373 6360 4219 1477</v>
      </c>
      <c r="F180" t="str">
        <f>_xlfn.XLOOKUP(TBL_USUARIOS[[#This Row],[ID_MASSA]],tbl_de_massas[id_massa],tbl_de_massas[cartao_fisico_cvv],"--",0,1)</f>
        <v>15</v>
      </c>
      <c r="G180" t="str">
        <f>_xlfn.XLOOKUP(TBL_USUARIOS[[#This Row],[ID_MASSA]],tbl_de_massas[id_massa],tbl_de_massas[cartao_virtual_numero],"--",0,1)</f>
        <v/>
      </c>
      <c r="H180">
        <f>_xlfn.XLOOKUP(TBL_USUARIOS[[#This Row],[ID_MASSA]],tbl_de_massas[id_massa],tbl_de_massas[cartao_virtual_cvv],"--",0,1)</f>
        <v>0</v>
      </c>
    </row>
    <row r="181" spans="1:8" x14ac:dyDescent="0.25">
      <c r="A181" s="2" t="s">
        <v>2206</v>
      </c>
      <c r="B181" s="14" t="str">
        <f>_xlfn.XLOOKUP(TBL_USUARIOS[[#This Row],[ID_MASSA]],tbl_de_massas[id_massa],tbl_de_massas[cpf],"--",0,1)</f>
        <v>23317643366</v>
      </c>
      <c r="C181" t="s">
        <v>2443</v>
      </c>
      <c r="D181" t="str">
        <f>_xlfn.XLOOKUP(TBL_USUARIOS[[#This Row],[ID_MASSA]],tbl_de_massas[id_massa],tbl_de_massas[nome_completo],"--",0,1)</f>
        <v>Élzéar Marie</v>
      </c>
      <c r="E181" t="str">
        <f>_xlfn.XLOOKUP(TBL_USUARIOS[[#This Row],[ID_MASSA]],tbl_de_massas[id_massa],tbl_de_massas[cartao_fisico_numero],"--",0,1)</f>
        <v>5185 4460 3642 5230</v>
      </c>
      <c r="F181" t="str">
        <f>_xlfn.XLOOKUP(TBL_USUARIOS[[#This Row],[ID_MASSA]],tbl_de_massas[id_massa],tbl_de_massas[cartao_fisico_cvv],"--",0,1)</f>
        <v>366</v>
      </c>
      <c r="G181" t="str">
        <f>_xlfn.XLOOKUP(TBL_USUARIOS[[#This Row],[ID_MASSA]],tbl_de_massas[id_massa],tbl_de_massas[cartao_virtual_numero],"--",0,1)</f>
        <v/>
      </c>
      <c r="H181">
        <f>_xlfn.XLOOKUP(TBL_USUARIOS[[#This Row],[ID_MASSA]],tbl_de_massas[id_massa],tbl_de_massas[cartao_virtual_cvv],"--",0,1)</f>
        <v>0</v>
      </c>
    </row>
    <row r="182" spans="1:8" x14ac:dyDescent="0.25">
      <c r="A182" s="2" t="s">
        <v>2207</v>
      </c>
      <c r="B182" s="14" t="str">
        <f>_xlfn.XLOOKUP(TBL_USUARIOS[[#This Row],[ID_MASSA]],tbl_de_massas[id_massa],tbl_de_massas[cpf],"--",0,1)</f>
        <v>42074143630</v>
      </c>
      <c r="C182" t="s">
        <v>2444</v>
      </c>
      <c r="D182" t="str">
        <f>_xlfn.XLOOKUP(TBL_USUARIOS[[#This Row],[ID_MASSA]],tbl_de_massas[id_massa],tbl_de_massas[nome_completo],"--",0,1)</f>
        <v>Roselin Arnaud</v>
      </c>
      <c r="E182" t="str">
        <f>_xlfn.XLOOKUP(TBL_USUARIOS[[#This Row],[ID_MASSA]],tbl_de_massas[id_massa],tbl_de_massas[cartao_fisico_numero],"--",0,1)</f>
        <v>5364 2660 9470 1600</v>
      </c>
      <c r="F182" t="str">
        <f>_xlfn.XLOOKUP(TBL_USUARIOS[[#This Row],[ID_MASSA]],tbl_de_massas[id_massa],tbl_de_massas[cartao_fisico_cvv],"--",0,1)</f>
        <v>630</v>
      </c>
      <c r="G182" t="str">
        <f>_xlfn.XLOOKUP(TBL_USUARIOS[[#This Row],[ID_MASSA]],tbl_de_massas[id_massa],tbl_de_massas[cartao_virtual_numero],"--",0,1)</f>
        <v/>
      </c>
      <c r="H182">
        <f>_xlfn.XLOOKUP(TBL_USUARIOS[[#This Row],[ID_MASSA]],tbl_de_massas[id_massa],tbl_de_massas[cartao_virtual_cvv],"--",0,1)</f>
        <v>0</v>
      </c>
    </row>
    <row r="183" spans="1:8" x14ac:dyDescent="0.25">
      <c r="A183" s="2" t="s">
        <v>2208</v>
      </c>
      <c r="B183" s="14" t="str">
        <f>_xlfn.XLOOKUP(TBL_USUARIOS[[#This Row],[ID_MASSA]],tbl_de_massas[id_massa],tbl_de_massas[cpf],"--",0,1)</f>
        <v>82676153420</v>
      </c>
      <c r="C183" t="s">
        <v>2445</v>
      </c>
      <c r="D183" t="str">
        <f>_xlfn.XLOOKUP(TBL_USUARIOS[[#This Row],[ID_MASSA]],tbl_de_massas[id_massa],tbl_de_massas[nome_completo],"--",0,1)</f>
        <v>Firmin Renard</v>
      </c>
      <c r="E183" t="str">
        <f>_xlfn.XLOOKUP(TBL_USUARIOS[[#This Row],[ID_MASSA]],tbl_de_massas[id_massa],tbl_de_massas[cartao_fisico_numero],"--",0,1)</f>
        <v>5185 4460 3568 4779</v>
      </c>
      <c r="F183" t="str">
        <f>_xlfn.XLOOKUP(TBL_USUARIOS[[#This Row],[ID_MASSA]],tbl_de_massas[id_massa],tbl_de_massas[cartao_fisico_cvv],"--",0,1)</f>
        <v>420</v>
      </c>
      <c r="G183" t="str">
        <f>_xlfn.XLOOKUP(TBL_USUARIOS[[#This Row],[ID_MASSA]],tbl_de_massas[id_massa],tbl_de_massas[cartao_virtual_numero],"--",0,1)</f>
        <v/>
      </c>
      <c r="H183">
        <f>_xlfn.XLOOKUP(TBL_USUARIOS[[#This Row],[ID_MASSA]],tbl_de_massas[id_massa],tbl_de_massas[cartao_virtual_cvv],"--",0,1)</f>
        <v>0</v>
      </c>
    </row>
    <row r="184" spans="1:8" x14ac:dyDescent="0.25">
      <c r="A184" s="2" t="s">
        <v>2209</v>
      </c>
      <c r="B184" s="14" t="str">
        <f>_xlfn.XLOOKUP(TBL_USUARIOS[[#This Row],[ID_MASSA]],tbl_de_massas[id_massa],tbl_de_massas[cpf],"--",0,1)</f>
        <v>32749568803</v>
      </c>
      <c r="C184" t="s">
        <v>2446</v>
      </c>
      <c r="D184" t="str">
        <f>_xlfn.XLOOKUP(TBL_USUARIOS[[#This Row],[ID_MASSA]],tbl_de_massas[id_massa],tbl_de_massas[nome_completo],"--",0,1)</f>
        <v>Odile Bernard</v>
      </c>
      <c r="E184" t="str">
        <f>_xlfn.XLOOKUP(TBL_USUARIOS[[#This Row],[ID_MASSA]],tbl_de_massas[id_massa],tbl_de_massas[cartao_fisico_numero],"--",0,1)</f>
        <v>5373 6360 4888 5791</v>
      </c>
      <c r="F184" t="str">
        <f>_xlfn.XLOOKUP(TBL_USUARIOS[[#This Row],[ID_MASSA]],tbl_de_massas[id_massa],tbl_de_massas[cartao_fisico_cvv],"--",0,1)</f>
        <v>803</v>
      </c>
      <c r="G184" t="str">
        <f>_xlfn.XLOOKUP(TBL_USUARIOS[[#This Row],[ID_MASSA]],tbl_de_massas[id_massa],tbl_de_massas[cartao_virtual_numero],"--",0,1)</f>
        <v/>
      </c>
      <c r="H184">
        <f>_xlfn.XLOOKUP(TBL_USUARIOS[[#This Row],[ID_MASSA]],tbl_de_massas[id_massa],tbl_de_massas[cartao_virtual_cvv],"--",0,1)</f>
        <v>0</v>
      </c>
    </row>
    <row r="185" spans="1:8" x14ac:dyDescent="0.25">
      <c r="A185" s="2" t="s">
        <v>2210</v>
      </c>
      <c r="B185" s="14" t="str">
        <f>_xlfn.XLOOKUP(TBL_USUARIOS[[#This Row],[ID_MASSA]],tbl_de_massas[id_massa],tbl_de_massas[cpf],"--",0,1)</f>
        <v>24369438004</v>
      </c>
      <c r="C185" t="s">
        <v>2447</v>
      </c>
      <c r="D185" t="str">
        <f>_xlfn.XLOOKUP(TBL_USUARIOS[[#This Row],[ID_MASSA]],tbl_de_massas[id_massa],tbl_de_massas[nome_completo],"--",0,1)</f>
        <v>Maximilian Mueller</v>
      </c>
      <c r="E185" t="str">
        <f>_xlfn.XLOOKUP(TBL_USUARIOS[[#This Row],[ID_MASSA]],tbl_de_massas[id_massa],tbl_de_massas[cartao_fisico_numero],"--",0,1)</f>
        <v>6062 8200 7915 2689</v>
      </c>
      <c r="F185" t="str">
        <f>_xlfn.XLOOKUP(TBL_USUARIOS[[#This Row],[ID_MASSA]],tbl_de_massas[id_massa],tbl_de_massas[cartao_fisico_cvv],"--",0,1)</f>
        <v>333</v>
      </c>
      <c r="G185" t="str">
        <f>_xlfn.XLOOKUP(TBL_USUARIOS[[#This Row],[ID_MASSA]],tbl_de_massas[id_massa],tbl_de_massas[cartao_virtual_numero],"--",0,1)</f>
        <v/>
      </c>
      <c r="H185">
        <f>_xlfn.XLOOKUP(TBL_USUARIOS[[#This Row],[ID_MASSA]],tbl_de_massas[id_massa],tbl_de_massas[cartao_virtual_cvv],"--",0,1)</f>
        <v>0</v>
      </c>
    </row>
    <row r="186" spans="1:8" x14ac:dyDescent="0.25">
      <c r="A186" s="2" t="s">
        <v>2211</v>
      </c>
      <c r="B186" s="14" t="str">
        <f>_xlfn.XLOOKUP(TBL_USUARIOS[[#This Row],[ID_MASSA]],tbl_de_massas[id_massa],tbl_de_massas[cpf],"--",0,1)</f>
        <v>36803189287</v>
      </c>
      <c r="C186" t="s">
        <v>2448</v>
      </c>
      <c r="D186" t="str">
        <f>_xlfn.XLOOKUP(TBL_USUARIOS[[#This Row],[ID_MASSA]],tbl_de_massas[id_massa],tbl_de_massas[nome_completo],"--",0,1)</f>
        <v>Chloe Dubois</v>
      </c>
      <c r="E186" t="str">
        <f>_xlfn.XLOOKUP(TBL_USUARIOS[[#This Row],[ID_MASSA]],tbl_de_massas[id_massa],tbl_de_massas[cartao_fisico_numero],"--",0,1)</f>
        <v>5442 7460 8324 5117</v>
      </c>
      <c r="F186" t="str">
        <f>_xlfn.XLOOKUP(TBL_USUARIOS[[#This Row],[ID_MASSA]],tbl_de_massas[id_massa],tbl_de_massas[cartao_fisico_cvv],"--",0,1)</f>
        <v>333</v>
      </c>
      <c r="G186" t="str">
        <f>_xlfn.XLOOKUP(TBL_USUARIOS[[#This Row],[ID_MASSA]],tbl_de_massas[id_massa],tbl_de_massas[cartao_virtual_numero],"--",0,1)</f>
        <v/>
      </c>
      <c r="H186">
        <f>_xlfn.XLOOKUP(TBL_USUARIOS[[#This Row],[ID_MASSA]],tbl_de_massas[id_massa],tbl_de_massas[cartao_virtual_cvv],"--",0,1)</f>
        <v>0</v>
      </c>
    </row>
    <row r="187" spans="1:8" x14ac:dyDescent="0.25">
      <c r="A187" s="2" t="s">
        <v>2212</v>
      </c>
      <c r="B187" s="14" t="str">
        <f>_xlfn.XLOOKUP(TBL_USUARIOS[[#This Row],[ID_MASSA]],tbl_de_massas[id_massa],tbl_de_massas[cpf],"--",0,1)</f>
        <v>70696409003</v>
      </c>
      <c r="C187" t="s">
        <v>2449</v>
      </c>
      <c r="D187" t="str">
        <f>_xlfn.XLOOKUP(TBL_USUARIOS[[#This Row],[ID_MASSA]],tbl_de_massas[id_massa],tbl_de_massas[nome_completo],"--",0,1)</f>
        <v>Alexander James Smith</v>
      </c>
      <c r="E187" t="str">
        <f>_xlfn.XLOOKUP(TBL_USUARIOS[[#This Row],[ID_MASSA]],tbl_de_massas[id_massa],tbl_de_massas[cartao_fisico_numero],"--",0,1)</f>
        <v>3782 480351 3483</v>
      </c>
      <c r="F187" t="str">
        <f>_xlfn.XLOOKUP(TBL_USUARIOS[[#This Row],[ID_MASSA]],tbl_de_massas[id_massa],tbl_de_massas[cartao_fisico_cvv],"--",0,1)</f>
        <v>8821</v>
      </c>
      <c r="G187" t="str">
        <f>_xlfn.XLOOKUP(TBL_USUARIOS[[#This Row],[ID_MASSA]],tbl_de_massas[id_massa],tbl_de_massas[cartao_virtual_numero],"--",0,1)</f>
        <v/>
      </c>
      <c r="H187">
        <f>_xlfn.XLOOKUP(TBL_USUARIOS[[#This Row],[ID_MASSA]],tbl_de_massas[id_massa],tbl_de_massas[cartao_virtual_cvv],"--",0,1)</f>
        <v>0</v>
      </c>
    </row>
    <row r="188" spans="1:8" x14ac:dyDescent="0.25">
      <c r="A188" s="2" t="s">
        <v>2213</v>
      </c>
      <c r="B188" s="14" t="str">
        <f>_xlfn.XLOOKUP(TBL_USUARIOS[[#This Row],[ID_MASSA]],tbl_de_massas[id_massa],tbl_de_massas[cpf],"--",0,1)</f>
        <v>07798679553</v>
      </c>
      <c r="C188" t="s">
        <v>2450</v>
      </c>
      <c r="D188" t="str">
        <f>_xlfn.XLOOKUP(TBL_USUARIOS[[#This Row],[ID_MASSA]],tbl_de_massas[id_massa],tbl_de_massas[nome_completo],"--",0,1)</f>
        <v>Camila Lopez</v>
      </c>
      <c r="E188" t="str">
        <f>_xlfn.XLOOKUP(TBL_USUARIOS[[#This Row],[ID_MASSA]],tbl_de_massas[id_massa],tbl_de_massas[cartao_fisico_numero],"--",0,1)</f>
        <v>6062 8200 4799 3000</v>
      </c>
      <c r="F188" t="str">
        <f>_xlfn.XLOOKUP(TBL_USUARIOS[[#This Row],[ID_MASSA]],tbl_de_massas[id_massa],tbl_de_massas[cartao_fisico_cvv],"--",0,1)</f>
        <v>333</v>
      </c>
      <c r="G188" t="str">
        <f>_xlfn.XLOOKUP(TBL_USUARIOS[[#This Row],[ID_MASSA]],tbl_de_massas[id_massa],tbl_de_massas[cartao_virtual_numero],"--",0,1)</f>
        <v/>
      </c>
      <c r="H188">
        <f>_xlfn.XLOOKUP(TBL_USUARIOS[[#This Row],[ID_MASSA]],tbl_de_massas[id_massa],tbl_de_massas[cartao_virtual_cvv],"--",0,1)</f>
        <v>0</v>
      </c>
    </row>
    <row r="189" spans="1:8" x14ac:dyDescent="0.25">
      <c r="A189" s="2" t="s">
        <v>2214</v>
      </c>
      <c r="B189" s="14" t="str">
        <f>_xlfn.XLOOKUP(TBL_USUARIOS[[#This Row],[ID_MASSA]],tbl_de_massas[id_massa],tbl_de_massas[cpf],"--",0,1)</f>
        <v>80665429410</v>
      </c>
      <c r="C189" t="s">
        <v>2451</v>
      </c>
      <c r="D189" t="str">
        <f>_xlfn.XLOOKUP(TBL_USUARIOS[[#This Row],[ID_MASSA]],tbl_de_massas[id_massa],tbl_de_massas[nome_completo],"--",0,1)</f>
        <v>Ren Ito</v>
      </c>
      <c r="E189" t="str">
        <f>_xlfn.XLOOKUP(TBL_USUARIOS[[#This Row],[ID_MASSA]],tbl_de_massas[id_massa],tbl_de_massas[cartao_fisico_numero],"--",0,1)</f>
        <v>3782 910865 8932</v>
      </c>
      <c r="F189" t="str">
        <f>_xlfn.XLOOKUP(TBL_USUARIOS[[#This Row],[ID_MASSA]],tbl_de_massas[id_massa],tbl_de_massas[cartao_fisico_cvv],"--",0,1)</f>
        <v>8821</v>
      </c>
      <c r="G189" t="str">
        <f>_xlfn.XLOOKUP(TBL_USUARIOS[[#This Row],[ID_MASSA]],tbl_de_massas[id_massa],tbl_de_massas[cartao_virtual_numero],"--",0,1)</f>
        <v/>
      </c>
      <c r="H189">
        <f>_xlfn.XLOOKUP(TBL_USUARIOS[[#This Row],[ID_MASSA]],tbl_de_massas[id_massa],tbl_de_massas[cartao_virtual_cvv],"--",0,1)</f>
        <v>0</v>
      </c>
    </row>
    <row r="190" spans="1:8" x14ac:dyDescent="0.25">
      <c r="A190" s="2" t="s">
        <v>2215</v>
      </c>
      <c r="B190" s="14" t="str">
        <f>_xlfn.XLOOKUP(TBL_USUARIOS[[#This Row],[ID_MASSA]],tbl_de_massas[id_massa],tbl_de_massas[cpf],"--",0,1)</f>
        <v>09636364990</v>
      </c>
      <c r="C190" t="s">
        <v>2452</v>
      </c>
      <c r="D190" t="str">
        <f>_xlfn.XLOOKUP(TBL_USUARIOS[[#This Row],[ID_MASSA]],tbl_de_massas[id_massa],tbl_de_massas[nome_completo],"--",0,1)</f>
        <v>Lei Chen</v>
      </c>
      <c r="E190" t="str">
        <f>_xlfn.XLOOKUP(TBL_USUARIOS[[#This Row],[ID_MASSA]],tbl_de_massas[id_massa],tbl_de_massas[cartao_fisico_numero],"--",0,1)</f>
        <v>3782 153566 5282</v>
      </c>
      <c r="F190" t="str">
        <f>_xlfn.XLOOKUP(TBL_USUARIOS[[#This Row],[ID_MASSA]],tbl_de_massas[id_massa],tbl_de_massas[cartao_fisico_cvv],"--",0,1)</f>
        <v>8821</v>
      </c>
      <c r="G190" t="str">
        <f>_xlfn.XLOOKUP(TBL_USUARIOS[[#This Row],[ID_MASSA]],tbl_de_massas[id_massa],tbl_de_massas[cartao_virtual_numero],"--",0,1)</f>
        <v/>
      </c>
      <c r="H190">
        <f>_xlfn.XLOOKUP(TBL_USUARIOS[[#This Row],[ID_MASSA]],tbl_de_massas[id_massa],tbl_de_massas[cartao_virtual_cvv],"--",0,1)</f>
        <v>0</v>
      </c>
    </row>
    <row r="191" spans="1:8" x14ac:dyDescent="0.25">
      <c r="A191" s="2" t="s">
        <v>2216</v>
      </c>
      <c r="B191" s="14" t="str">
        <f>_xlfn.XLOOKUP(TBL_USUARIOS[[#This Row],[ID_MASSA]],tbl_de_massas[id_massa],tbl_de_massas[cpf],"--",0,1)</f>
        <v>50058578501</v>
      </c>
      <c r="C191" t="s">
        <v>2453</v>
      </c>
      <c r="D191" t="str">
        <f>_xlfn.XLOOKUP(TBL_USUARIOS[[#This Row],[ID_MASSA]],tbl_de_massas[id_massa],tbl_de_massas[nome_completo],"--",0,1)</f>
        <v>Minjun Kim</v>
      </c>
      <c r="E191" t="str">
        <f>_xlfn.XLOOKUP(TBL_USUARIOS[[#This Row],[ID_MASSA]],tbl_de_massas[id_massa],tbl_de_massas[cartao_fisico_numero],"--",0,1)</f>
        <v>6062 8200 3229 1653</v>
      </c>
      <c r="F191" t="str">
        <f>_xlfn.XLOOKUP(TBL_USUARIOS[[#This Row],[ID_MASSA]],tbl_de_massas[id_massa],tbl_de_massas[cartao_fisico_cvv],"--",0,1)</f>
        <v>333</v>
      </c>
      <c r="G191" t="str">
        <f>_xlfn.XLOOKUP(TBL_USUARIOS[[#This Row],[ID_MASSA]],tbl_de_massas[id_massa],tbl_de_massas[cartao_virtual_numero],"--",0,1)</f>
        <v/>
      </c>
      <c r="H191">
        <f>_xlfn.XLOOKUP(TBL_USUARIOS[[#This Row],[ID_MASSA]],tbl_de_massas[id_massa],tbl_de_massas[cartao_virtual_cvv],"--",0,1)</f>
        <v>0</v>
      </c>
    </row>
    <row r="192" spans="1:8" x14ac:dyDescent="0.25">
      <c r="A192" s="2" t="s">
        <v>2217</v>
      </c>
      <c r="B192" s="14" t="str">
        <f>_xlfn.XLOOKUP(TBL_USUARIOS[[#This Row],[ID_MASSA]],tbl_de_massas[id_massa],tbl_de_massas[cpf],"--",0,1)</f>
        <v>67010691002</v>
      </c>
      <c r="C192" t="s">
        <v>2454</v>
      </c>
      <c r="D192" t="str">
        <f>_xlfn.XLOOKUP(TBL_USUARIOS[[#This Row],[ID_MASSA]],tbl_de_massas[id_massa],tbl_de_massas[nome_completo],"--",0,1)</f>
        <v>Jean Dupont</v>
      </c>
      <c r="E192" t="str">
        <f>_xlfn.XLOOKUP(TBL_USUARIOS[[#This Row],[ID_MASSA]],tbl_de_massas[id_massa],tbl_de_massas[cartao_fisico_numero],"--",0,1)</f>
        <v>6505 0666 7155 5022</v>
      </c>
      <c r="F192" t="str">
        <f>_xlfn.XLOOKUP(TBL_USUARIOS[[#This Row],[ID_MASSA]],tbl_de_massas[id_massa],tbl_de_massas[cartao_fisico_cvv],"--",0,1)</f>
        <v>333</v>
      </c>
      <c r="G192" t="str">
        <f>_xlfn.XLOOKUP(TBL_USUARIOS[[#This Row],[ID_MASSA]],tbl_de_massas[id_massa],tbl_de_massas[cartao_virtual_numero],"--",0,1)</f>
        <v/>
      </c>
      <c r="H192">
        <f>_xlfn.XLOOKUP(TBL_USUARIOS[[#This Row],[ID_MASSA]],tbl_de_massas[id_massa],tbl_de_massas[cartao_virtual_cvv],"--",0,1)</f>
        <v>0</v>
      </c>
    </row>
    <row r="193" spans="1:8" x14ac:dyDescent="0.25">
      <c r="A193" s="2" t="s">
        <v>2218</v>
      </c>
      <c r="B193" s="14" t="str">
        <f>_xlfn.XLOOKUP(TBL_USUARIOS[[#This Row],[ID_MASSA]],tbl_de_massas[id_massa],tbl_de_massas[cpf],"--",0,1)</f>
        <v>47591910388</v>
      </c>
      <c r="C193" t="s">
        <v>2455</v>
      </c>
      <c r="D193" t="str">
        <f>_xlfn.XLOOKUP(TBL_USUARIOS[[#This Row],[ID_MASSA]],tbl_de_massas[id_massa],tbl_de_massas[nome_completo],"--",0,1)</f>
        <v>Michael David Williams</v>
      </c>
      <c r="E193" t="str">
        <f>_xlfn.XLOOKUP(TBL_USUARIOS[[#This Row],[ID_MASSA]],tbl_de_massas[id_massa],tbl_de_massas[cartao_fisico_numero],"--",0,1)</f>
        <v>5442 7460 3483 8572</v>
      </c>
      <c r="F193" t="str">
        <f>_xlfn.XLOOKUP(TBL_USUARIOS[[#This Row],[ID_MASSA]],tbl_de_massas[id_massa],tbl_de_massas[cartao_fisico_cvv],"--",0,1)</f>
        <v>333</v>
      </c>
      <c r="G193" t="str">
        <f>_xlfn.XLOOKUP(TBL_USUARIOS[[#This Row],[ID_MASSA]],tbl_de_massas[id_massa],tbl_de_massas[cartao_virtual_numero],"--",0,1)</f>
        <v/>
      </c>
      <c r="H193">
        <f>_xlfn.XLOOKUP(TBL_USUARIOS[[#This Row],[ID_MASSA]],tbl_de_massas[id_massa],tbl_de_massas[cartao_virtual_cvv],"--",0,1)</f>
        <v>0</v>
      </c>
    </row>
    <row r="194" spans="1:8" x14ac:dyDescent="0.25">
      <c r="A194" s="2" t="s">
        <v>2219</v>
      </c>
      <c r="B194" s="14" t="str">
        <f>_xlfn.XLOOKUP(TBL_USUARIOS[[#This Row],[ID_MASSA]],tbl_de_massas[id_massa],tbl_de_massas[cpf],"--",0,1)</f>
        <v>65461467385</v>
      </c>
      <c r="C194" t="s">
        <v>2456</v>
      </c>
      <c r="D194" t="str">
        <f>_xlfn.XLOOKUP(TBL_USUARIOS[[#This Row],[ID_MASSA]],tbl_de_massas[id_massa],tbl_de_massas[nome_completo],"--",0,1)</f>
        <v>Daniel Dupuis</v>
      </c>
      <c r="E194" t="str">
        <f>_xlfn.XLOOKUP(TBL_USUARIOS[[#This Row],[ID_MASSA]],tbl_de_massas[id_massa],tbl_de_massas[cartao_fisico_numero],"--",0,1)</f>
        <v>5364 2660 2219 1882</v>
      </c>
      <c r="F194" t="str">
        <f>_xlfn.XLOOKUP(TBL_USUARIOS[[#This Row],[ID_MASSA]],tbl_de_massas[id_massa],tbl_de_massas[cartao_fisico_cvv],"--",0,1)</f>
        <v>385</v>
      </c>
      <c r="G194" t="str">
        <f>_xlfn.XLOOKUP(TBL_USUARIOS[[#This Row],[ID_MASSA]],tbl_de_massas[id_massa],tbl_de_massas[cartao_virtual_numero],"--",0,1)</f>
        <v/>
      </c>
      <c r="H194">
        <f>_xlfn.XLOOKUP(TBL_USUARIOS[[#This Row],[ID_MASSA]],tbl_de_massas[id_massa],tbl_de_massas[cartao_virtual_cvv],"--",0,1)</f>
        <v>0</v>
      </c>
    </row>
    <row r="195" spans="1:8" x14ac:dyDescent="0.25">
      <c r="A195" s="2" t="s">
        <v>2220</v>
      </c>
      <c r="B195" s="14" t="str">
        <f>_xlfn.XLOOKUP(TBL_USUARIOS[[#This Row],[ID_MASSA]],tbl_de_massas[id_massa],tbl_de_massas[cpf],"--",0,1)</f>
        <v>37877781016</v>
      </c>
      <c r="C195" t="s">
        <v>2457</v>
      </c>
      <c r="D195" t="str">
        <f>_xlfn.XLOOKUP(TBL_USUARIOS[[#This Row],[ID_MASSA]],tbl_de_massas[id_massa],tbl_de_massas[nome_completo],"--",0,1)</f>
        <v>Helio Reis</v>
      </c>
      <c r="E195" t="str">
        <f>_xlfn.XLOOKUP(TBL_USUARIOS[[#This Row],[ID_MASSA]],tbl_de_massas[id_massa],tbl_de_massas[cartao_fisico_numero],"--",0,1)</f>
        <v>5442 7460 0099 4593</v>
      </c>
      <c r="F195" t="str">
        <f>_xlfn.XLOOKUP(TBL_USUARIOS[[#This Row],[ID_MASSA]],tbl_de_massas[id_massa],tbl_de_massas[cartao_fisico_cvv],"--",0,1)</f>
        <v>16</v>
      </c>
      <c r="G195" t="str">
        <f>_xlfn.XLOOKUP(TBL_USUARIOS[[#This Row],[ID_MASSA]],tbl_de_massas[id_massa],tbl_de_massas[cartao_virtual_numero],"--",0,1)</f>
        <v/>
      </c>
      <c r="H195">
        <f>_xlfn.XLOOKUP(TBL_USUARIOS[[#This Row],[ID_MASSA]],tbl_de_massas[id_massa],tbl_de_massas[cartao_virtual_cvv],"--",0,1)</f>
        <v>0</v>
      </c>
    </row>
    <row r="196" spans="1:8" x14ac:dyDescent="0.25">
      <c r="A196" s="2" t="s">
        <v>2221</v>
      </c>
      <c r="B196" s="14" t="str">
        <f>_xlfn.XLOOKUP(TBL_USUARIOS[[#This Row],[ID_MASSA]],tbl_de_massas[id_massa],tbl_de_massas[cpf],"--",0,1)</f>
        <v>40207277168</v>
      </c>
      <c r="C196" t="s">
        <v>2458</v>
      </c>
      <c r="D196" t="str">
        <f>_xlfn.XLOOKUP(TBL_USUARIOS[[#This Row],[ID_MASSA]],tbl_de_massas[id_massa],tbl_de_massas[nome_completo],"--",0,1)</f>
        <v>Mercia Oliveira</v>
      </c>
      <c r="E196" t="str">
        <f>_xlfn.XLOOKUP(TBL_USUARIOS[[#This Row],[ID_MASSA]],tbl_de_massas[id_massa],tbl_de_massas[cartao_fisico_numero],"--",0,1)</f>
        <v>5185 4460 6676 7873</v>
      </c>
      <c r="F196" t="str">
        <f>_xlfn.XLOOKUP(TBL_USUARIOS[[#This Row],[ID_MASSA]],tbl_de_massas[id_massa],tbl_de_massas[cartao_fisico_cvv],"--",0,1)</f>
        <v>168</v>
      </c>
      <c r="G196" t="str">
        <f>_xlfn.XLOOKUP(TBL_USUARIOS[[#This Row],[ID_MASSA]],tbl_de_massas[id_massa],tbl_de_massas[cartao_virtual_numero],"--",0,1)</f>
        <v/>
      </c>
      <c r="H196">
        <f>_xlfn.XLOOKUP(TBL_USUARIOS[[#This Row],[ID_MASSA]],tbl_de_massas[id_massa],tbl_de_massas[cartao_virtual_cvv],"--",0,1)</f>
        <v>0</v>
      </c>
    </row>
    <row r="197" spans="1:8" x14ac:dyDescent="0.25">
      <c r="A197" s="2" t="s">
        <v>2222</v>
      </c>
      <c r="B197" s="14" t="str">
        <f>_xlfn.XLOOKUP(TBL_USUARIOS[[#This Row],[ID_MASSA]],tbl_de_massas[id_massa],tbl_de_massas[cpf],"--",0,1)</f>
        <v>09657598818</v>
      </c>
      <c r="C197" t="s">
        <v>2459</v>
      </c>
      <c r="D197" t="str">
        <f>_xlfn.XLOOKUP(TBL_USUARIOS[[#This Row],[ID_MASSA]],tbl_de_massas[id_massa],tbl_de_massas[nome_completo],"--",0,1)</f>
        <v>Enzo Gabriel Santos</v>
      </c>
      <c r="E197" t="str">
        <f>_xlfn.XLOOKUP(TBL_USUARIOS[[#This Row],[ID_MASSA]],tbl_de_massas[id_massa],tbl_de_massas[cartao_fisico_numero],"--",0,1)</f>
        <v>5185 4460 9536 7737</v>
      </c>
      <c r="F197" t="str">
        <f>_xlfn.XLOOKUP(TBL_USUARIOS[[#This Row],[ID_MASSA]],tbl_de_massas[id_massa],tbl_de_massas[cartao_fisico_cvv],"--",0,1)</f>
        <v>818</v>
      </c>
      <c r="G197" t="str">
        <f>_xlfn.XLOOKUP(TBL_USUARIOS[[#This Row],[ID_MASSA]],tbl_de_massas[id_massa],tbl_de_massas[cartao_virtual_numero],"--",0,1)</f>
        <v/>
      </c>
      <c r="H197">
        <f>_xlfn.XLOOKUP(TBL_USUARIOS[[#This Row],[ID_MASSA]],tbl_de_massas[id_massa],tbl_de_massas[cartao_virtual_cvv],"--",0,1)</f>
        <v>0</v>
      </c>
    </row>
    <row r="198" spans="1:8" x14ac:dyDescent="0.25">
      <c r="A198" s="2" t="s">
        <v>2223</v>
      </c>
      <c r="B198" s="14" t="str">
        <f>_xlfn.XLOOKUP(TBL_USUARIOS[[#This Row],[ID_MASSA]],tbl_de_massas[id_massa],tbl_de_massas[cpf],"--",0,1)</f>
        <v>41356720862</v>
      </c>
      <c r="C198" t="s">
        <v>2460</v>
      </c>
      <c r="D198" t="str">
        <f>_xlfn.XLOOKUP(TBL_USUARIOS[[#This Row],[ID_MASSA]],tbl_de_massas[id_massa],tbl_de_massas[nome_completo],"--",0,1)</f>
        <v>Eduarda Melo</v>
      </c>
      <c r="E198" t="str">
        <f>_xlfn.XLOOKUP(TBL_USUARIOS[[#This Row],[ID_MASSA]],tbl_de_massas[id_massa],tbl_de_massas[cartao_fisico_numero],"--",0,1)</f>
        <v>5373 6360 1346 3202</v>
      </c>
      <c r="F198" t="str">
        <f>_xlfn.XLOOKUP(TBL_USUARIOS[[#This Row],[ID_MASSA]],tbl_de_massas[id_massa],tbl_de_massas[cartao_fisico_cvv],"--",0,1)</f>
        <v>862</v>
      </c>
      <c r="G198" t="str">
        <f>_xlfn.XLOOKUP(TBL_USUARIOS[[#This Row],[ID_MASSA]],tbl_de_massas[id_massa],tbl_de_massas[cartao_virtual_numero],"--",0,1)</f>
        <v/>
      </c>
      <c r="H198">
        <f>_xlfn.XLOOKUP(TBL_USUARIOS[[#This Row],[ID_MASSA]],tbl_de_massas[id_massa],tbl_de_massas[cartao_virtual_cvv],"--",0,1)</f>
        <v>0</v>
      </c>
    </row>
    <row r="199" spans="1:8" x14ac:dyDescent="0.25">
      <c r="A199" s="2" t="s">
        <v>2224</v>
      </c>
      <c r="B199" s="14" t="str">
        <f>_xlfn.XLOOKUP(TBL_USUARIOS[[#This Row],[ID_MASSA]],tbl_de_massas[id_massa],tbl_de_massas[cpf],"--",0,1)</f>
        <v>23201979902</v>
      </c>
      <c r="C199" t="s">
        <v>2461</v>
      </c>
      <c r="D199" t="str">
        <f>_xlfn.XLOOKUP(TBL_USUARIOS[[#This Row],[ID_MASSA]],tbl_de_massas[id_massa],tbl_de_massas[nome_completo],"--",0,1)</f>
        <v>Vitor Albuquerque</v>
      </c>
      <c r="E199" t="str">
        <f>_xlfn.XLOOKUP(TBL_USUARIOS[[#This Row],[ID_MASSA]],tbl_de_massas[id_massa],tbl_de_massas[cartao_fisico_numero],"--",0,1)</f>
        <v>5442 7460 2829 3788</v>
      </c>
      <c r="F199" t="str">
        <f>_xlfn.XLOOKUP(TBL_USUARIOS[[#This Row],[ID_MASSA]],tbl_de_massas[id_massa],tbl_de_massas[cartao_fisico_cvv],"--",0,1)</f>
        <v>902</v>
      </c>
      <c r="G199" t="str">
        <f>_xlfn.XLOOKUP(TBL_USUARIOS[[#This Row],[ID_MASSA]],tbl_de_massas[id_massa],tbl_de_massas[cartao_virtual_numero],"--",0,1)</f>
        <v/>
      </c>
      <c r="H199">
        <f>_xlfn.XLOOKUP(TBL_USUARIOS[[#This Row],[ID_MASSA]],tbl_de_massas[id_massa],tbl_de_massas[cartao_virtual_cvv],"--",0,1)</f>
        <v>0</v>
      </c>
    </row>
    <row r="200" spans="1:8" x14ac:dyDescent="0.25">
      <c r="A200" s="2" t="s">
        <v>2225</v>
      </c>
      <c r="B200" s="14" t="str">
        <f>_xlfn.XLOOKUP(TBL_USUARIOS[[#This Row],[ID_MASSA]],tbl_de_massas[id_massa],tbl_de_massas[cpf],"--",0,1)</f>
        <v>42755630345</v>
      </c>
      <c r="C200" t="s">
        <v>2462</v>
      </c>
      <c r="D200" t="str">
        <f>_xlfn.XLOOKUP(TBL_USUARIOS[[#This Row],[ID_MASSA]],tbl_de_massas[id_massa],tbl_de_massas[nome_completo],"--",0,1)</f>
        <v>Isis Silva</v>
      </c>
      <c r="E200" t="str">
        <f>_xlfn.XLOOKUP(TBL_USUARIOS[[#This Row],[ID_MASSA]],tbl_de_massas[id_massa],tbl_de_massas[cartao_fisico_numero],"--",0,1)</f>
        <v>5185 4460 0402 8636</v>
      </c>
      <c r="F200" t="str">
        <f>_xlfn.XLOOKUP(TBL_USUARIOS[[#This Row],[ID_MASSA]],tbl_de_massas[id_massa],tbl_de_massas[cartao_fisico_cvv],"--",0,1)</f>
        <v>345</v>
      </c>
      <c r="G200" t="str">
        <f>_xlfn.XLOOKUP(TBL_USUARIOS[[#This Row],[ID_MASSA]],tbl_de_massas[id_massa],tbl_de_massas[cartao_virtual_numero],"--",0,1)</f>
        <v/>
      </c>
      <c r="H200">
        <f>_xlfn.XLOOKUP(TBL_USUARIOS[[#This Row],[ID_MASSA]],tbl_de_massas[id_massa],tbl_de_massas[cartao_virtual_cvv],"--",0,1)</f>
        <v>0</v>
      </c>
    </row>
    <row r="201" spans="1:8" x14ac:dyDescent="0.25">
      <c r="A201" s="2" t="s">
        <v>2226</v>
      </c>
      <c r="B201" s="14" t="str">
        <f>_xlfn.XLOOKUP(TBL_USUARIOS[[#This Row],[ID_MASSA]],tbl_de_massas[id_massa],tbl_de_massas[cpf],"--",0,1)</f>
        <v>54879306193</v>
      </c>
      <c r="C201" t="s">
        <v>2463</v>
      </c>
      <c r="D201" t="str">
        <f>_xlfn.XLOOKUP(TBL_USUARIOS[[#This Row],[ID_MASSA]],tbl_de_massas[id_massa],tbl_de_massas[nome_completo],"--",0,1)</f>
        <v>Fabricia Carvalho</v>
      </c>
      <c r="E201" t="str">
        <f>_xlfn.XLOOKUP(TBL_USUARIOS[[#This Row],[ID_MASSA]],tbl_de_massas[id_massa],tbl_de_massas[cartao_fisico_numero],"--",0,1)</f>
        <v>5442 7460 7728 6659</v>
      </c>
      <c r="F201" t="str">
        <f>_xlfn.XLOOKUP(TBL_USUARIOS[[#This Row],[ID_MASSA]],tbl_de_massas[id_massa],tbl_de_massas[cartao_fisico_cvv],"--",0,1)</f>
        <v>193</v>
      </c>
      <c r="G201" t="str">
        <f>_xlfn.XLOOKUP(TBL_USUARIOS[[#This Row],[ID_MASSA]],tbl_de_massas[id_massa],tbl_de_massas[cartao_virtual_numero],"--",0,1)</f>
        <v/>
      </c>
      <c r="H201">
        <f>_xlfn.XLOOKUP(TBL_USUARIOS[[#This Row],[ID_MASSA]],tbl_de_massas[id_massa],tbl_de_massas[cartao_virtual_cvv],"--",0,1)</f>
        <v>0</v>
      </c>
    </row>
    <row r="202" spans="1:8" x14ac:dyDescent="0.25">
      <c r="A202" s="2" t="s">
        <v>2227</v>
      </c>
      <c r="B202" s="14" t="str">
        <f>_xlfn.XLOOKUP(TBL_USUARIOS[[#This Row],[ID_MASSA]],tbl_de_massas[id_massa],tbl_de_massas[cpf],"--",0,1)</f>
        <v>81122222742</v>
      </c>
      <c r="C202" t="s">
        <v>2464</v>
      </c>
      <c r="D202" t="str">
        <f>_xlfn.XLOOKUP(TBL_USUARIOS[[#This Row],[ID_MASSA]],tbl_de_massas[id_massa],tbl_de_massas[nome_completo],"--",0,1)</f>
        <v>Bryan Barros</v>
      </c>
      <c r="E202" t="str">
        <f>_xlfn.XLOOKUP(TBL_USUARIOS[[#This Row],[ID_MASSA]],tbl_de_massas[id_massa],tbl_de_massas[cartao_fisico_numero],"--",0,1)</f>
        <v>5373 6360 4562 4789</v>
      </c>
      <c r="F202" t="str">
        <f>_xlfn.XLOOKUP(TBL_USUARIOS[[#This Row],[ID_MASSA]],tbl_de_massas[id_massa],tbl_de_massas[cartao_fisico_cvv],"--",0,1)</f>
        <v>742</v>
      </c>
      <c r="G202" t="str">
        <f>_xlfn.XLOOKUP(TBL_USUARIOS[[#This Row],[ID_MASSA]],tbl_de_massas[id_massa],tbl_de_massas[cartao_virtual_numero],"--",0,1)</f>
        <v/>
      </c>
      <c r="H202">
        <f>_xlfn.XLOOKUP(TBL_USUARIOS[[#This Row],[ID_MASSA]],tbl_de_massas[id_massa],tbl_de_massas[cartao_virtual_cvv],"--",0,1)</f>
        <v>0</v>
      </c>
    </row>
    <row r="203" spans="1:8" x14ac:dyDescent="0.25">
      <c r="A203" s="2" t="s">
        <v>2228</v>
      </c>
      <c r="B203" s="14" t="str">
        <f>_xlfn.XLOOKUP(TBL_USUARIOS[[#This Row],[ID_MASSA]],tbl_de_massas[id_massa],tbl_de_massas[cpf],"--",0,1)</f>
        <v>87437767600</v>
      </c>
      <c r="C203" t="s">
        <v>2465</v>
      </c>
      <c r="D203" t="str">
        <f>_xlfn.XLOOKUP(TBL_USUARIOS[[#This Row],[ID_MASSA]],tbl_de_massas[id_massa],tbl_de_massas[nome_completo],"--",0,1)</f>
        <v>Dalila Saraiva</v>
      </c>
      <c r="E203" t="str">
        <f>_xlfn.XLOOKUP(TBL_USUARIOS[[#This Row],[ID_MASSA]],tbl_de_massas[id_massa],tbl_de_massas[cartao_fisico_numero],"--",0,1)</f>
        <v>5364 2660 2813 8234</v>
      </c>
      <c r="F203" t="str">
        <f>_xlfn.XLOOKUP(TBL_USUARIOS[[#This Row],[ID_MASSA]],tbl_de_massas[id_massa],tbl_de_massas[cartao_fisico_cvv],"--",0,1)</f>
        <v>600</v>
      </c>
      <c r="G203" t="str">
        <f>_xlfn.XLOOKUP(TBL_USUARIOS[[#This Row],[ID_MASSA]],tbl_de_massas[id_massa],tbl_de_massas[cartao_virtual_numero],"--",0,1)</f>
        <v/>
      </c>
      <c r="H203">
        <f>_xlfn.XLOOKUP(TBL_USUARIOS[[#This Row],[ID_MASSA]],tbl_de_massas[id_massa],tbl_de_massas[cartao_virtual_cvv],"--",0,1)</f>
        <v>0</v>
      </c>
    </row>
    <row r="204" spans="1:8" x14ac:dyDescent="0.25">
      <c r="A204" s="2" t="s">
        <v>2229</v>
      </c>
      <c r="B204" s="14" t="str">
        <f>_xlfn.XLOOKUP(TBL_USUARIOS[[#This Row],[ID_MASSA]],tbl_de_massas[id_massa],tbl_de_massas[cpf],"--",0,1)</f>
        <v>43128363455</v>
      </c>
      <c r="C204" t="s">
        <v>2466</v>
      </c>
      <c r="D204" t="str">
        <f>_xlfn.XLOOKUP(TBL_USUARIOS[[#This Row],[ID_MASSA]],tbl_de_massas[id_massa],tbl_de_massas[nome_completo],"--",0,1)</f>
        <v>Leonardo Braga</v>
      </c>
      <c r="E204" t="str">
        <f>_xlfn.XLOOKUP(TBL_USUARIOS[[#This Row],[ID_MASSA]],tbl_de_massas[id_massa],tbl_de_massas[cartao_fisico_numero],"--",0,1)</f>
        <v>5185 4460 7495 1691</v>
      </c>
      <c r="F204" t="str">
        <f>_xlfn.XLOOKUP(TBL_USUARIOS[[#This Row],[ID_MASSA]],tbl_de_massas[id_massa],tbl_de_massas[cartao_fisico_cvv],"--",0,1)</f>
        <v>455</v>
      </c>
      <c r="G204" t="str">
        <f>_xlfn.XLOOKUP(TBL_USUARIOS[[#This Row],[ID_MASSA]],tbl_de_massas[id_massa],tbl_de_massas[cartao_virtual_numero],"--",0,1)</f>
        <v/>
      </c>
      <c r="H204">
        <f>_xlfn.XLOOKUP(TBL_USUARIOS[[#This Row],[ID_MASSA]],tbl_de_massas[id_massa],tbl_de_massas[cartao_virtual_cvv],"--",0,1)</f>
        <v>0</v>
      </c>
    </row>
    <row r="205" spans="1:8" x14ac:dyDescent="0.25">
      <c r="A205" s="2" t="s">
        <v>2230</v>
      </c>
      <c r="B205" s="14" t="str">
        <f>_xlfn.XLOOKUP(TBL_USUARIOS[[#This Row],[ID_MASSA]],tbl_de_massas[id_massa],tbl_de_massas[cpf],"--",0,1)</f>
        <v>13440024202</v>
      </c>
      <c r="C205" t="s">
        <v>2467</v>
      </c>
      <c r="D205" t="str">
        <f>_xlfn.XLOOKUP(TBL_USUARIOS[[#This Row],[ID_MASSA]],tbl_de_massas[id_massa],tbl_de_massas[nome_completo],"--",0,1)</f>
        <v>Ana Julia Santos</v>
      </c>
      <c r="E205" t="str">
        <f>_xlfn.XLOOKUP(TBL_USUARIOS[[#This Row],[ID_MASSA]],tbl_de_massas[id_massa],tbl_de_massas[cartao_fisico_numero],"--",0,1)</f>
        <v>5364 2660 5357 3420</v>
      </c>
      <c r="F205" t="str">
        <f>_xlfn.XLOOKUP(TBL_USUARIOS[[#This Row],[ID_MASSA]],tbl_de_massas[id_massa],tbl_de_massas[cartao_fisico_cvv],"--",0,1)</f>
        <v>202</v>
      </c>
      <c r="G205" t="str">
        <f>_xlfn.XLOOKUP(TBL_USUARIOS[[#This Row],[ID_MASSA]],tbl_de_massas[id_massa],tbl_de_massas[cartao_virtual_numero],"--",0,1)</f>
        <v/>
      </c>
      <c r="H205">
        <f>_xlfn.XLOOKUP(TBL_USUARIOS[[#This Row],[ID_MASSA]],tbl_de_massas[id_massa],tbl_de_massas[cartao_virtual_cvv],"--",0,1)</f>
        <v>0</v>
      </c>
    </row>
    <row r="206" spans="1:8" x14ac:dyDescent="0.25">
      <c r="A206" s="2" t="s">
        <v>2231</v>
      </c>
      <c r="B206" s="14" t="str">
        <f>_xlfn.XLOOKUP(TBL_USUARIOS[[#This Row],[ID_MASSA]],tbl_de_massas[id_massa],tbl_de_massas[cpf],"--",0,1)</f>
        <v>81123471746</v>
      </c>
      <c r="C206" t="s">
        <v>2468</v>
      </c>
      <c r="D206" t="str">
        <f>_xlfn.XLOOKUP(TBL_USUARIOS[[#This Row],[ID_MASSA]],tbl_de_massas[id_massa],tbl_de_massas[nome_completo],"--",0,1)</f>
        <v>Marcela Moreira</v>
      </c>
      <c r="E206" t="str">
        <f>_xlfn.XLOOKUP(TBL_USUARIOS[[#This Row],[ID_MASSA]],tbl_de_massas[id_massa],tbl_de_massas[cartao_fisico_numero],"--",0,1)</f>
        <v>5364 2660 6467 4217</v>
      </c>
      <c r="F206" t="str">
        <f>_xlfn.XLOOKUP(TBL_USUARIOS[[#This Row],[ID_MASSA]],tbl_de_massas[id_massa],tbl_de_massas[cartao_fisico_cvv],"--",0,1)</f>
        <v>746</v>
      </c>
      <c r="G206" t="str">
        <f>_xlfn.XLOOKUP(TBL_USUARIOS[[#This Row],[ID_MASSA]],tbl_de_massas[id_massa],tbl_de_massas[cartao_virtual_numero],"--",0,1)</f>
        <v/>
      </c>
      <c r="H206">
        <f>_xlfn.XLOOKUP(TBL_USUARIOS[[#This Row],[ID_MASSA]],tbl_de_massas[id_massa],tbl_de_massas[cartao_virtual_cvv],"--",0,1)</f>
        <v>0</v>
      </c>
    </row>
    <row r="207" spans="1:8" x14ac:dyDescent="0.25">
      <c r="A207" s="2" t="s">
        <v>2232</v>
      </c>
      <c r="B207" s="14" t="str">
        <f>_xlfn.XLOOKUP(TBL_USUARIOS[[#This Row],[ID_MASSA]],tbl_de_massas[id_massa],tbl_de_massas[cpf],"--",0,1)</f>
        <v>15980864210</v>
      </c>
      <c r="C207" t="s">
        <v>2469</v>
      </c>
      <c r="D207" t="str">
        <f>_xlfn.XLOOKUP(TBL_USUARIOS[[#This Row],[ID_MASSA]],tbl_de_massas[id_massa],tbl_de_massas[nome_completo],"--",0,1)</f>
        <v>Joao Lucas Santos</v>
      </c>
      <c r="E207" t="str">
        <f>_xlfn.XLOOKUP(TBL_USUARIOS[[#This Row],[ID_MASSA]],tbl_de_massas[id_massa],tbl_de_massas[cartao_fisico_numero],"--",0,1)</f>
        <v>5185 4460 5023 3908</v>
      </c>
      <c r="F207" t="str">
        <f>_xlfn.XLOOKUP(TBL_USUARIOS[[#This Row],[ID_MASSA]],tbl_de_massas[id_massa],tbl_de_massas[cartao_fisico_cvv],"--",0,1)</f>
        <v>210</v>
      </c>
      <c r="G207" t="str">
        <f>_xlfn.XLOOKUP(TBL_USUARIOS[[#This Row],[ID_MASSA]],tbl_de_massas[id_massa],tbl_de_massas[cartao_virtual_numero],"--",0,1)</f>
        <v/>
      </c>
      <c r="H207">
        <f>_xlfn.XLOOKUP(TBL_USUARIOS[[#This Row],[ID_MASSA]],tbl_de_massas[id_massa],tbl_de_massas[cartao_virtual_cvv],"--",0,1)</f>
        <v>0</v>
      </c>
    </row>
    <row r="208" spans="1:8" x14ac:dyDescent="0.25">
      <c r="A208" s="2" t="s">
        <v>2233</v>
      </c>
      <c r="B208" s="14" t="str">
        <f>_xlfn.XLOOKUP(TBL_USUARIOS[[#This Row],[ID_MASSA]],tbl_de_massas[id_massa],tbl_de_massas[cpf],"--",0,1)</f>
        <v>85900332608</v>
      </c>
      <c r="C208" t="s">
        <v>2470</v>
      </c>
      <c r="D208" t="str">
        <f>_xlfn.XLOOKUP(TBL_USUARIOS[[#This Row],[ID_MASSA]],tbl_de_massas[id_massa],tbl_de_massas[nome_completo],"--",0,1)</f>
        <v>Isaac Albuquerque</v>
      </c>
      <c r="E208" t="str">
        <f>_xlfn.XLOOKUP(TBL_USUARIOS[[#This Row],[ID_MASSA]],tbl_de_massas[id_massa],tbl_de_massas[cartao_fisico_numero],"--",0,1)</f>
        <v>5442 7460 7587 3581</v>
      </c>
      <c r="F208" t="str">
        <f>_xlfn.XLOOKUP(TBL_USUARIOS[[#This Row],[ID_MASSA]],tbl_de_massas[id_massa],tbl_de_massas[cartao_fisico_cvv],"--",0,1)</f>
        <v>608</v>
      </c>
      <c r="G208" t="str">
        <f>_xlfn.XLOOKUP(TBL_USUARIOS[[#This Row],[ID_MASSA]],tbl_de_massas[id_massa],tbl_de_massas[cartao_virtual_numero],"--",0,1)</f>
        <v/>
      </c>
      <c r="H208">
        <f>_xlfn.XLOOKUP(TBL_USUARIOS[[#This Row],[ID_MASSA]],tbl_de_massas[id_massa],tbl_de_massas[cartao_virtual_cvv],"--",0,1)</f>
        <v>0</v>
      </c>
    </row>
    <row r="209" spans="1:8" x14ac:dyDescent="0.25">
      <c r="A209" s="2" t="s">
        <v>2234</v>
      </c>
      <c r="B209" s="14" t="str">
        <f>_xlfn.XLOOKUP(TBL_USUARIOS[[#This Row],[ID_MASSA]],tbl_de_massas[id_massa],tbl_de_massas[cpf],"--",0,1)</f>
        <v>66069157834</v>
      </c>
      <c r="C209" t="s">
        <v>2471</v>
      </c>
      <c r="D209" t="str">
        <f>_xlfn.XLOOKUP(TBL_USUARIOS[[#This Row],[ID_MASSA]],tbl_de_massas[id_massa],tbl_de_massas[nome_completo],"--",0,1)</f>
        <v>Sophia Macedo</v>
      </c>
      <c r="E209" t="str">
        <f>_xlfn.XLOOKUP(TBL_USUARIOS[[#This Row],[ID_MASSA]],tbl_de_massas[id_massa],tbl_de_massas[cartao_fisico_numero],"--",0,1)</f>
        <v>5373 6360 0487 1231</v>
      </c>
      <c r="F209" t="str">
        <f>_xlfn.XLOOKUP(TBL_USUARIOS[[#This Row],[ID_MASSA]],tbl_de_massas[id_massa],tbl_de_massas[cartao_fisico_cvv],"--",0,1)</f>
        <v>834</v>
      </c>
      <c r="G209" t="str">
        <f>_xlfn.XLOOKUP(TBL_USUARIOS[[#This Row],[ID_MASSA]],tbl_de_massas[id_massa],tbl_de_massas[cartao_virtual_numero],"--",0,1)</f>
        <v/>
      </c>
      <c r="H209">
        <f>_xlfn.XLOOKUP(TBL_USUARIOS[[#This Row],[ID_MASSA]],tbl_de_massas[id_massa],tbl_de_massas[cartao_virtual_cvv],"--",0,1)</f>
        <v>0</v>
      </c>
    </row>
    <row r="210" spans="1:8" x14ac:dyDescent="0.25">
      <c r="A210" s="2" t="s">
        <v>2235</v>
      </c>
      <c r="B210" s="14" t="str">
        <f>_xlfn.XLOOKUP(TBL_USUARIOS[[#This Row],[ID_MASSA]],tbl_de_massas[id_massa],tbl_de_massas[cpf],"--",0,1)</f>
        <v>99721176699</v>
      </c>
      <c r="C210" t="s">
        <v>2472</v>
      </c>
      <c r="D210" t="str">
        <f>_xlfn.XLOOKUP(TBL_USUARIOS[[#This Row],[ID_MASSA]],tbl_de_massas[id_massa],tbl_de_massas[nome_completo],"--",0,1)</f>
        <v>Laura Oliveira</v>
      </c>
      <c r="E210" t="str">
        <f>_xlfn.XLOOKUP(TBL_USUARIOS[[#This Row],[ID_MASSA]],tbl_de_massas[id_massa],tbl_de_massas[cartao_fisico_numero],"--",0,1)</f>
        <v>5442 7460 7842 0893</v>
      </c>
      <c r="F210" t="str">
        <f>_xlfn.XLOOKUP(TBL_USUARIOS[[#This Row],[ID_MASSA]],tbl_de_massas[id_massa],tbl_de_massas[cartao_fisico_cvv],"--",0,1)</f>
        <v>699</v>
      </c>
      <c r="G210" t="str">
        <f>_xlfn.XLOOKUP(TBL_USUARIOS[[#This Row],[ID_MASSA]],tbl_de_massas[id_massa],tbl_de_massas[cartao_virtual_numero],"--",0,1)</f>
        <v/>
      </c>
      <c r="H210">
        <f>_xlfn.XLOOKUP(TBL_USUARIOS[[#This Row],[ID_MASSA]],tbl_de_massas[id_massa],tbl_de_massas[cartao_virtual_cvv],"--",0,1)</f>
        <v>0</v>
      </c>
    </row>
    <row r="211" spans="1:8" x14ac:dyDescent="0.25">
      <c r="A211" s="2" t="s">
        <v>2236</v>
      </c>
      <c r="B211" s="14" t="str">
        <f>_xlfn.XLOOKUP(TBL_USUARIOS[[#This Row],[ID_MASSA]],tbl_de_massas[id_massa],tbl_de_massas[cpf],"--",0,1)</f>
        <v>57137689370</v>
      </c>
      <c r="C211" t="s">
        <v>2473</v>
      </c>
      <c r="D211" t="str">
        <f>_xlfn.XLOOKUP(TBL_USUARIOS[[#This Row],[ID_MASSA]],tbl_de_massas[id_massa],tbl_de_massas[nome_completo],"--",0,1)</f>
        <v>Marcela Xavier</v>
      </c>
      <c r="E211" t="str">
        <f>_xlfn.XLOOKUP(TBL_USUARIOS[[#This Row],[ID_MASSA]],tbl_de_massas[id_massa],tbl_de_massas[cartao_fisico_numero],"--",0,1)</f>
        <v>5185 4460 5982 5787</v>
      </c>
      <c r="F211" t="str">
        <f>_xlfn.XLOOKUP(TBL_USUARIOS[[#This Row],[ID_MASSA]],tbl_de_massas[id_massa],tbl_de_massas[cartao_fisico_cvv],"--",0,1)</f>
        <v>370</v>
      </c>
      <c r="G211" t="str">
        <f>_xlfn.XLOOKUP(TBL_USUARIOS[[#This Row],[ID_MASSA]],tbl_de_massas[id_massa],tbl_de_massas[cartao_virtual_numero],"--",0,1)</f>
        <v/>
      </c>
      <c r="H211">
        <f>_xlfn.XLOOKUP(TBL_USUARIOS[[#This Row],[ID_MASSA]],tbl_de_massas[id_massa],tbl_de_massas[cartao_virtual_cvv],"--",0,1)</f>
        <v>0</v>
      </c>
    </row>
    <row r="212" spans="1:8" x14ac:dyDescent="0.25">
      <c r="A212" s="2" t="s">
        <v>2237</v>
      </c>
      <c r="B212" s="14" t="str">
        <f>_xlfn.XLOOKUP(TBL_USUARIOS[[#This Row],[ID_MASSA]],tbl_de_massas[id_massa],tbl_de_massas[cpf],"--",0,1)</f>
        <v>15879566323</v>
      </c>
      <c r="C212" t="s">
        <v>2474</v>
      </c>
      <c r="D212" t="str">
        <f>_xlfn.XLOOKUP(TBL_USUARIOS[[#This Row],[ID_MASSA]],tbl_de_massas[id_massa],tbl_de_massas[nome_completo],"--",0,1)</f>
        <v>Helena Saraiva</v>
      </c>
      <c r="E212" t="str">
        <f>_xlfn.XLOOKUP(TBL_USUARIOS[[#This Row],[ID_MASSA]],tbl_de_massas[id_massa],tbl_de_massas[cartao_fisico_numero],"--",0,1)</f>
        <v>5442 7460 6349 9696</v>
      </c>
      <c r="F212" t="str">
        <f>_xlfn.XLOOKUP(TBL_USUARIOS[[#This Row],[ID_MASSA]],tbl_de_massas[id_massa],tbl_de_massas[cartao_fisico_cvv],"--",0,1)</f>
        <v>323</v>
      </c>
      <c r="G212" t="str">
        <f>_xlfn.XLOOKUP(TBL_USUARIOS[[#This Row],[ID_MASSA]],tbl_de_massas[id_massa],tbl_de_massas[cartao_virtual_numero],"--",0,1)</f>
        <v/>
      </c>
      <c r="H212">
        <f>_xlfn.XLOOKUP(TBL_USUARIOS[[#This Row],[ID_MASSA]],tbl_de_massas[id_massa],tbl_de_massas[cartao_virtual_cvv],"--",0,1)</f>
        <v>0</v>
      </c>
    </row>
    <row r="213" spans="1:8" x14ac:dyDescent="0.25">
      <c r="A213" s="2" t="s">
        <v>2238</v>
      </c>
      <c r="B213" s="14" t="str">
        <f>_xlfn.XLOOKUP(TBL_USUARIOS[[#This Row],[ID_MASSA]],tbl_de_massas[id_massa],tbl_de_massas[cpf],"--",0,1)</f>
        <v>27788134384</v>
      </c>
      <c r="C213" t="s">
        <v>2475</v>
      </c>
      <c r="D213" t="str">
        <f>_xlfn.XLOOKUP(TBL_USUARIOS[[#This Row],[ID_MASSA]],tbl_de_massas[id_massa],tbl_de_massas[nome_completo],"--",0,1)</f>
        <v>Rafaela Nogueira</v>
      </c>
      <c r="E213" t="str">
        <f>_xlfn.XLOOKUP(TBL_USUARIOS[[#This Row],[ID_MASSA]],tbl_de_massas[id_massa],tbl_de_massas[cartao_fisico_numero],"--",0,1)</f>
        <v>5185 4460 1236 3660</v>
      </c>
      <c r="F213" t="str">
        <f>_xlfn.XLOOKUP(TBL_USUARIOS[[#This Row],[ID_MASSA]],tbl_de_massas[id_massa],tbl_de_massas[cartao_fisico_cvv],"--",0,1)</f>
        <v>384</v>
      </c>
      <c r="G213" t="str">
        <f>_xlfn.XLOOKUP(TBL_USUARIOS[[#This Row],[ID_MASSA]],tbl_de_massas[id_massa],tbl_de_massas[cartao_virtual_numero],"--",0,1)</f>
        <v/>
      </c>
      <c r="H213">
        <f>_xlfn.XLOOKUP(TBL_USUARIOS[[#This Row],[ID_MASSA]],tbl_de_massas[id_massa],tbl_de_massas[cartao_virtual_cvv],"--",0,1)</f>
        <v>0</v>
      </c>
    </row>
    <row r="214" spans="1:8" x14ac:dyDescent="0.25">
      <c r="A214" s="2" t="s">
        <v>2239</v>
      </c>
      <c r="B214" s="14" t="str">
        <f>_xlfn.XLOOKUP(TBL_USUARIOS[[#This Row],[ID_MASSA]],tbl_de_massas[id_massa],tbl_de_massas[cpf],"--",0,1)</f>
        <v>95970102598</v>
      </c>
      <c r="C214" t="s">
        <v>2476</v>
      </c>
      <c r="D214" t="str">
        <f>_xlfn.XLOOKUP(TBL_USUARIOS[[#This Row],[ID_MASSA]],tbl_de_massas[id_massa],tbl_de_massas[nome_completo],"--",0,1)</f>
        <v>Pietro Carvalho</v>
      </c>
      <c r="E214" t="str">
        <f>_xlfn.XLOOKUP(TBL_USUARIOS[[#This Row],[ID_MASSA]],tbl_de_massas[id_massa],tbl_de_massas[cartao_fisico_numero],"--",0,1)</f>
        <v>5373 6360 2570 9865</v>
      </c>
      <c r="F214" t="str">
        <f>_xlfn.XLOOKUP(TBL_USUARIOS[[#This Row],[ID_MASSA]],tbl_de_massas[id_massa],tbl_de_massas[cartao_fisico_cvv],"--",0,1)</f>
        <v>598</v>
      </c>
      <c r="G214" t="str">
        <f>_xlfn.XLOOKUP(TBL_USUARIOS[[#This Row],[ID_MASSA]],tbl_de_massas[id_massa],tbl_de_massas[cartao_virtual_numero],"--",0,1)</f>
        <v/>
      </c>
      <c r="H214">
        <f>_xlfn.XLOOKUP(TBL_USUARIOS[[#This Row],[ID_MASSA]],tbl_de_massas[id_massa],tbl_de_massas[cartao_virtual_cvv],"--",0,1)</f>
        <v>0</v>
      </c>
    </row>
    <row r="215" spans="1:8" x14ac:dyDescent="0.25">
      <c r="A215" s="2" t="s">
        <v>2240</v>
      </c>
      <c r="B215" s="14" t="str">
        <f>_xlfn.XLOOKUP(TBL_USUARIOS[[#This Row],[ID_MASSA]],tbl_de_massas[id_massa],tbl_de_massas[cpf],"--",0,1)</f>
        <v>92134441682</v>
      </c>
      <c r="C215" t="s">
        <v>2477</v>
      </c>
      <c r="D215" t="str">
        <f>_xlfn.XLOOKUP(TBL_USUARIOS[[#This Row],[ID_MASSA]],tbl_de_massas[id_massa],tbl_de_massas[nome_completo],"--",0,1)</f>
        <v>Rafael Nogueira</v>
      </c>
      <c r="E215" t="str">
        <f>_xlfn.XLOOKUP(TBL_USUARIOS[[#This Row],[ID_MASSA]],tbl_de_massas[id_massa],tbl_de_massas[cartao_fisico_numero],"--",0,1)</f>
        <v>5442 7460 0100 0259</v>
      </c>
      <c r="F215" t="str">
        <f>_xlfn.XLOOKUP(TBL_USUARIOS[[#This Row],[ID_MASSA]],tbl_de_massas[id_massa],tbl_de_massas[cartao_fisico_cvv],"--",0,1)</f>
        <v>682</v>
      </c>
      <c r="G215" t="str">
        <f>_xlfn.XLOOKUP(TBL_USUARIOS[[#This Row],[ID_MASSA]],tbl_de_massas[id_massa],tbl_de_massas[cartao_virtual_numero],"--",0,1)</f>
        <v/>
      </c>
      <c r="H215">
        <f>_xlfn.XLOOKUP(TBL_USUARIOS[[#This Row],[ID_MASSA]],tbl_de_massas[id_massa],tbl_de_massas[cartao_virtual_cvv],"--",0,1)</f>
        <v>0</v>
      </c>
    </row>
    <row r="216" spans="1:8" x14ac:dyDescent="0.25">
      <c r="A216" s="2" t="s">
        <v>2241</v>
      </c>
      <c r="B216" s="14" t="str">
        <f>_xlfn.XLOOKUP(TBL_USUARIOS[[#This Row],[ID_MASSA]],tbl_de_massas[id_massa],tbl_de_massas[cpf],"--",0,1)</f>
        <v>48184183070</v>
      </c>
      <c r="C216" t="s">
        <v>2478</v>
      </c>
      <c r="D216" t="str">
        <f>_xlfn.XLOOKUP(TBL_USUARIOS[[#This Row],[ID_MASSA]],tbl_de_massas[id_massa],tbl_de_massas[nome_completo],"--",0,1)</f>
        <v>Elisa Moraes</v>
      </c>
      <c r="E216" t="str">
        <f>_xlfn.XLOOKUP(TBL_USUARIOS[[#This Row],[ID_MASSA]],tbl_de_massas[id_massa],tbl_de_massas[cartao_fisico_numero],"--",0,1)</f>
        <v>5373 6360 5864 8006</v>
      </c>
      <c r="F216" t="str">
        <f>_xlfn.XLOOKUP(TBL_USUARIOS[[#This Row],[ID_MASSA]],tbl_de_massas[id_massa],tbl_de_massas[cartao_fisico_cvv],"--",0,1)</f>
        <v>70</v>
      </c>
      <c r="G216" t="str">
        <f>_xlfn.XLOOKUP(TBL_USUARIOS[[#This Row],[ID_MASSA]],tbl_de_massas[id_massa],tbl_de_massas[cartao_virtual_numero],"--",0,1)</f>
        <v/>
      </c>
      <c r="H216">
        <f>_xlfn.XLOOKUP(TBL_USUARIOS[[#This Row],[ID_MASSA]],tbl_de_massas[id_massa],tbl_de_massas[cartao_virtual_cvv],"--",0,1)</f>
        <v>0</v>
      </c>
    </row>
    <row r="217" spans="1:8" x14ac:dyDescent="0.25">
      <c r="A217" s="2" t="s">
        <v>2242</v>
      </c>
      <c r="B217" s="14" t="str">
        <f>_xlfn.XLOOKUP(TBL_USUARIOS[[#This Row],[ID_MASSA]],tbl_de_massas[id_massa],tbl_de_massas[cpf],"--",0,1)</f>
        <v>54313729046</v>
      </c>
      <c r="C217" t="s">
        <v>2479</v>
      </c>
      <c r="D217" t="str">
        <f>_xlfn.XLOOKUP(TBL_USUARIOS[[#This Row],[ID_MASSA]],tbl_de_massas[id_massa],tbl_de_massas[nome_completo],"--",0,1)</f>
        <v>Ana Luiza Nogueira</v>
      </c>
      <c r="E217" t="str">
        <f>_xlfn.XLOOKUP(TBL_USUARIOS[[#This Row],[ID_MASSA]],tbl_de_massas[id_massa],tbl_de_massas[cartao_fisico_numero],"--",0,1)</f>
        <v>5442 7460 9003 0217</v>
      </c>
      <c r="F217" t="str">
        <f>_xlfn.XLOOKUP(TBL_USUARIOS[[#This Row],[ID_MASSA]],tbl_de_massas[id_massa],tbl_de_massas[cartao_fisico_cvv],"--",0,1)</f>
        <v>46</v>
      </c>
      <c r="G217" t="str">
        <f>_xlfn.XLOOKUP(TBL_USUARIOS[[#This Row],[ID_MASSA]],tbl_de_massas[id_massa],tbl_de_massas[cartao_virtual_numero],"--",0,1)</f>
        <v/>
      </c>
      <c r="H217">
        <f>_xlfn.XLOOKUP(TBL_USUARIOS[[#This Row],[ID_MASSA]],tbl_de_massas[id_massa],tbl_de_massas[cartao_virtual_cvv],"--",0,1)</f>
        <v>0</v>
      </c>
    </row>
    <row r="218" spans="1:8" x14ac:dyDescent="0.25">
      <c r="A218" s="2" t="s">
        <v>2243</v>
      </c>
      <c r="B218" s="14" t="str">
        <f>_xlfn.XLOOKUP(TBL_USUARIOS[[#This Row],[ID_MASSA]],tbl_de_massas[id_massa],tbl_de_massas[cpf],"--",0,1)</f>
        <v>34814029705</v>
      </c>
      <c r="C218" t="s">
        <v>2480</v>
      </c>
      <c r="D218" t="str">
        <f>_xlfn.XLOOKUP(TBL_USUARIOS[[#This Row],[ID_MASSA]],tbl_de_massas[id_massa],tbl_de_massas[nome_completo],"--",0,1)</f>
        <v>Enzo Costa</v>
      </c>
      <c r="E218" t="str">
        <f>_xlfn.XLOOKUP(TBL_USUARIOS[[#This Row],[ID_MASSA]],tbl_de_massas[id_massa],tbl_de_massas[cartao_fisico_numero],"--",0,1)</f>
        <v>5185 4460 6531 8322</v>
      </c>
      <c r="F218" t="str">
        <f>_xlfn.XLOOKUP(TBL_USUARIOS[[#This Row],[ID_MASSA]],tbl_de_massas[id_massa],tbl_de_massas[cartao_fisico_cvv],"--",0,1)</f>
        <v>705</v>
      </c>
      <c r="G218" t="str">
        <f>_xlfn.XLOOKUP(TBL_USUARIOS[[#This Row],[ID_MASSA]],tbl_de_massas[id_massa],tbl_de_massas[cartao_virtual_numero],"--",0,1)</f>
        <v/>
      </c>
      <c r="H218">
        <f>_xlfn.XLOOKUP(TBL_USUARIOS[[#This Row],[ID_MASSA]],tbl_de_massas[id_massa],tbl_de_massas[cartao_virtual_cvv],"--",0,1)</f>
        <v>0</v>
      </c>
    </row>
    <row r="219" spans="1:8" x14ac:dyDescent="0.25">
      <c r="A219" s="2" t="s">
        <v>2244</v>
      </c>
      <c r="B219" s="14" t="str">
        <f>_xlfn.XLOOKUP(TBL_USUARIOS[[#This Row],[ID_MASSA]],tbl_de_massas[id_massa],tbl_de_massas[cpf],"--",0,1)</f>
        <v>43316626409</v>
      </c>
      <c r="C219" t="s">
        <v>2481</v>
      </c>
      <c r="D219" t="str">
        <f>_xlfn.XLOOKUP(TBL_USUARIOS[[#This Row],[ID_MASSA]],tbl_de_massas[id_massa],tbl_de_massas[nome_completo],"--",0,1)</f>
        <v>Samuel Carvalho</v>
      </c>
      <c r="E219" t="str">
        <f>_xlfn.XLOOKUP(TBL_USUARIOS[[#This Row],[ID_MASSA]],tbl_de_massas[id_massa],tbl_de_massas[cartao_fisico_numero],"--",0,1)</f>
        <v>5442 7460 3547 2177</v>
      </c>
      <c r="F219" t="str">
        <f>_xlfn.XLOOKUP(TBL_USUARIOS[[#This Row],[ID_MASSA]],tbl_de_massas[id_massa],tbl_de_massas[cartao_fisico_cvv],"--",0,1)</f>
        <v>409</v>
      </c>
      <c r="G219" t="str">
        <f>_xlfn.XLOOKUP(TBL_USUARIOS[[#This Row],[ID_MASSA]],tbl_de_massas[id_massa],tbl_de_massas[cartao_virtual_numero],"--",0,1)</f>
        <v/>
      </c>
      <c r="H219">
        <f>_xlfn.XLOOKUP(TBL_USUARIOS[[#This Row],[ID_MASSA]],tbl_de_massas[id_massa],tbl_de_massas[cartao_virtual_cvv],"--",0,1)</f>
        <v>0</v>
      </c>
    </row>
    <row r="220" spans="1:8" x14ac:dyDescent="0.25">
      <c r="A220" s="2" t="s">
        <v>2245</v>
      </c>
      <c r="B220" s="14" t="str">
        <f>_xlfn.XLOOKUP(TBL_USUARIOS[[#This Row],[ID_MASSA]],tbl_de_massas[id_massa],tbl_de_massas[cpf],"--",0,1)</f>
        <v>63566545708</v>
      </c>
      <c r="C220" t="s">
        <v>2482</v>
      </c>
      <c r="D220" t="str">
        <f>_xlfn.XLOOKUP(TBL_USUARIOS[[#This Row],[ID_MASSA]],tbl_de_massas[id_massa],tbl_de_massas[nome_completo],"--",0,1)</f>
        <v>Marcia Santos</v>
      </c>
      <c r="E220" t="str">
        <f>_xlfn.XLOOKUP(TBL_USUARIOS[[#This Row],[ID_MASSA]],tbl_de_massas[id_massa],tbl_de_massas[cartao_fisico_numero],"--",0,1)</f>
        <v>5364 2660 5531 3197</v>
      </c>
      <c r="F220" t="str">
        <f>_xlfn.XLOOKUP(TBL_USUARIOS[[#This Row],[ID_MASSA]],tbl_de_massas[id_massa],tbl_de_massas[cartao_fisico_cvv],"--",0,1)</f>
        <v>708</v>
      </c>
      <c r="G220" t="str">
        <f>_xlfn.XLOOKUP(TBL_USUARIOS[[#This Row],[ID_MASSA]],tbl_de_massas[id_massa],tbl_de_massas[cartao_virtual_numero],"--",0,1)</f>
        <v/>
      </c>
      <c r="H220">
        <f>_xlfn.XLOOKUP(TBL_USUARIOS[[#This Row],[ID_MASSA]],tbl_de_massas[id_massa],tbl_de_massas[cartao_virtual_cvv],"--",0,1)</f>
        <v>0</v>
      </c>
    </row>
    <row r="221" spans="1:8" x14ac:dyDescent="0.25">
      <c r="A221" s="2" t="s">
        <v>2246</v>
      </c>
      <c r="B221" s="14" t="str">
        <f>_xlfn.XLOOKUP(TBL_USUARIOS[[#This Row],[ID_MASSA]],tbl_de_massas[id_massa],tbl_de_massas[cpf],"--",0,1)</f>
        <v>73511641500</v>
      </c>
      <c r="C221" t="s">
        <v>2483</v>
      </c>
      <c r="D221" t="str">
        <f>_xlfn.XLOOKUP(TBL_USUARIOS[[#This Row],[ID_MASSA]],tbl_de_massas[id_massa],tbl_de_massas[nome_completo],"--",0,1)</f>
        <v>Lucca Macedo</v>
      </c>
      <c r="E221" t="str">
        <f>_xlfn.XLOOKUP(TBL_USUARIOS[[#This Row],[ID_MASSA]],tbl_de_massas[id_massa],tbl_de_massas[cartao_fisico_numero],"--",0,1)</f>
        <v>5185 4460 2551 9506</v>
      </c>
      <c r="F221" t="str">
        <f>_xlfn.XLOOKUP(TBL_USUARIOS[[#This Row],[ID_MASSA]],tbl_de_massas[id_massa],tbl_de_massas[cartao_fisico_cvv],"--",0,1)</f>
        <v>500</v>
      </c>
      <c r="G221" t="str">
        <f>_xlfn.XLOOKUP(TBL_USUARIOS[[#This Row],[ID_MASSA]],tbl_de_massas[id_massa],tbl_de_massas[cartao_virtual_numero],"--",0,1)</f>
        <v/>
      </c>
      <c r="H221">
        <f>_xlfn.XLOOKUP(TBL_USUARIOS[[#This Row],[ID_MASSA]],tbl_de_massas[id_massa],tbl_de_massas[cartao_virtual_cvv],"--",0,1)</f>
        <v>0</v>
      </c>
    </row>
    <row r="222" spans="1:8" x14ac:dyDescent="0.25">
      <c r="A222" s="2" t="s">
        <v>2247</v>
      </c>
      <c r="B222" s="14" t="str">
        <f>_xlfn.XLOOKUP(TBL_USUARIOS[[#This Row],[ID_MASSA]],tbl_de_massas[id_massa],tbl_de_massas[cpf],"--",0,1)</f>
        <v>93784945015</v>
      </c>
      <c r="C222" t="s">
        <v>2484</v>
      </c>
      <c r="D222" t="str">
        <f>_xlfn.XLOOKUP(TBL_USUARIOS[[#This Row],[ID_MASSA]],tbl_de_massas[id_massa],tbl_de_massas[nome_completo],"--",0,1)</f>
        <v>Margarida Martins</v>
      </c>
      <c r="E222" t="str">
        <f>_xlfn.XLOOKUP(TBL_USUARIOS[[#This Row],[ID_MASSA]],tbl_de_massas[id_massa],tbl_de_massas[cartao_fisico_numero],"--",0,1)</f>
        <v>5442 7460 5748 2658</v>
      </c>
      <c r="F222" t="str">
        <f>_xlfn.XLOOKUP(TBL_USUARIOS[[#This Row],[ID_MASSA]],tbl_de_massas[id_massa],tbl_de_massas[cartao_fisico_cvv],"--",0,1)</f>
        <v>15</v>
      </c>
      <c r="G222" t="str">
        <f>_xlfn.XLOOKUP(TBL_USUARIOS[[#This Row],[ID_MASSA]],tbl_de_massas[id_massa],tbl_de_massas[cartao_virtual_numero],"--",0,1)</f>
        <v/>
      </c>
      <c r="H222">
        <f>_xlfn.XLOOKUP(TBL_USUARIOS[[#This Row],[ID_MASSA]],tbl_de_massas[id_massa],tbl_de_massas[cartao_virtual_cvv],"--",0,1)</f>
        <v>0</v>
      </c>
    </row>
    <row r="223" spans="1:8" x14ac:dyDescent="0.25">
      <c r="A223" s="2" t="s">
        <v>2248</v>
      </c>
      <c r="B223" s="14" t="str">
        <f>_xlfn.XLOOKUP(TBL_USUARIOS[[#This Row],[ID_MASSA]],tbl_de_massas[id_massa],tbl_de_massas[cpf],"--",0,1)</f>
        <v>25433185508</v>
      </c>
      <c r="C223" t="s">
        <v>2485</v>
      </c>
      <c r="D223" t="str">
        <f>_xlfn.XLOOKUP(TBL_USUARIOS[[#This Row],[ID_MASSA]],tbl_de_massas[id_massa],tbl_de_massas[nome_completo],"--",0,1)</f>
        <v>Benjamin Macedo</v>
      </c>
      <c r="E223" t="str">
        <f>_xlfn.XLOOKUP(TBL_USUARIOS[[#This Row],[ID_MASSA]],tbl_de_massas[id_massa],tbl_de_massas[cartao_fisico_numero],"--",0,1)</f>
        <v>5442 7460 4207 9262</v>
      </c>
      <c r="F223" t="str">
        <f>_xlfn.XLOOKUP(TBL_USUARIOS[[#This Row],[ID_MASSA]],tbl_de_massas[id_massa],tbl_de_massas[cartao_fisico_cvv],"--",0,1)</f>
        <v>508</v>
      </c>
      <c r="G223" t="str">
        <f>_xlfn.XLOOKUP(TBL_USUARIOS[[#This Row],[ID_MASSA]],tbl_de_massas[id_massa],tbl_de_massas[cartao_virtual_numero],"--",0,1)</f>
        <v/>
      </c>
      <c r="H223">
        <f>_xlfn.XLOOKUP(TBL_USUARIOS[[#This Row],[ID_MASSA]],tbl_de_massas[id_massa],tbl_de_massas[cartao_virtual_cvv],"--",0,1)</f>
        <v>0</v>
      </c>
    </row>
    <row r="224" spans="1:8" x14ac:dyDescent="0.25">
      <c r="A224" s="2" t="s">
        <v>2249</v>
      </c>
      <c r="B224" s="14" t="str">
        <f>_xlfn.XLOOKUP(TBL_USUARIOS[[#This Row],[ID_MASSA]],tbl_de_massas[id_massa],tbl_de_massas[cpf],"--",0,1)</f>
        <v>89602248718</v>
      </c>
      <c r="C224" t="s">
        <v>2486</v>
      </c>
      <c r="D224" t="str">
        <f>_xlfn.XLOOKUP(TBL_USUARIOS[[#This Row],[ID_MASSA]],tbl_de_massas[id_massa],tbl_de_massas[nome_completo],"--",0,1)</f>
        <v>Isabel Silva</v>
      </c>
      <c r="E224" t="str">
        <f>_xlfn.XLOOKUP(TBL_USUARIOS[[#This Row],[ID_MASSA]],tbl_de_massas[id_massa],tbl_de_massas[cartao_fisico_numero],"--",0,1)</f>
        <v>5364 2660 8793 9167</v>
      </c>
      <c r="F224" t="str">
        <f>_xlfn.XLOOKUP(TBL_USUARIOS[[#This Row],[ID_MASSA]],tbl_de_massas[id_massa],tbl_de_massas[cartao_fisico_cvv],"--",0,1)</f>
        <v>718</v>
      </c>
      <c r="G224" t="str">
        <f>_xlfn.XLOOKUP(TBL_USUARIOS[[#This Row],[ID_MASSA]],tbl_de_massas[id_massa],tbl_de_massas[cartao_virtual_numero],"--",0,1)</f>
        <v/>
      </c>
      <c r="H224">
        <f>_xlfn.XLOOKUP(TBL_USUARIOS[[#This Row],[ID_MASSA]],tbl_de_massas[id_massa],tbl_de_massas[cartao_virtual_cvv],"--",0,1)</f>
        <v>0</v>
      </c>
    </row>
    <row r="225" spans="1:8" x14ac:dyDescent="0.25">
      <c r="A225" s="2" t="s">
        <v>2250</v>
      </c>
      <c r="B225" s="14" t="str">
        <f>_xlfn.XLOOKUP(TBL_USUARIOS[[#This Row],[ID_MASSA]],tbl_de_massas[id_massa],tbl_de_massas[cpf],"--",0,1)</f>
        <v>57070650914</v>
      </c>
      <c r="C225" t="s">
        <v>2487</v>
      </c>
      <c r="D225" t="str">
        <f>_xlfn.XLOOKUP(TBL_USUARIOS[[#This Row],[ID_MASSA]],tbl_de_massas[id_massa],tbl_de_massas[nome_completo],"--",0,1)</f>
        <v>Felicia Costa</v>
      </c>
      <c r="E225" t="str">
        <f>_xlfn.XLOOKUP(TBL_USUARIOS[[#This Row],[ID_MASSA]],tbl_de_massas[id_massa],tbl_de_massas[cartao_fisico_numero],"--",0,1)</f>
        <v>5185 4460 8124 4130</v>
      </c>
      <c r="F225" t="str">
        <f>_xlfn.XLOOKUP(TBL_USUARIOS[[#This Row],[ID_MASSA]],tbl_de_massas[id_massa],tbl_de_massas[cartao_fisico_cvv],"--",0,1)</f>
        <v>914</v>
      </c>
      <c r="G225" t="str">
        <f>_xlfn.XLOOKUP(TBL_USUARIOS[[#This Row],[ID_MASSA]],tbl_de_massas[id_massa],tbl_de_massas[cartao_virtual_numero],"--",0,1)</f>
        <v/>
      </c>
      <c r="H225">
        <f>_xlfn.XLOOKUP(TBL_USUARIOS[[#This Row],[ID_MASSA]],tbl_de_massas[id_massa],tbl_de_massas[cartao_virtual_cvv],"--",0,1)</f>
        <v>0</v>
      </c>
    </row>
    <row r="226" spans="1:8" x14ac:dyDescent="0.25">
      <c r="A226" s="2" t="s">
        <v>2251</v>
      </c>
      <c r="B226" s="14" t="str">
        <f>_xlfn.XLOOKUP(TBL_USUARIOS[[#This Row],[ID_MASSA]],tbl_de_massas[id_massa],tbl_de_massas[cpf],"--",0,1)</f>
        <v>84688882300</v>
      </c>
      <c r="C226" t="s">
        <v>2488</v>
      </c>
      <c r="D226" t="str">
        <f>_xlfn.XLOOKUP(TBL_USUARIOS[[#This Row],[ID_MASSA]],tbl_de_massas[id_massa],tbl_de_massas[nome_completo],"--",0,1)</f>
        <v>Lucca Martins</v>
      </c>
      <c r="E226" t="str">
        <f>_xlfn.XLOOKUP(TBL_USUARIOS[[#This Row],[ID_MASSA]],tbl_de_massas[id_massa],tbl_de_massas[cartao_fisico_numero],"--",0,1)</f>
        <v>5442 7460 0195 2657</v>
      </c>
      <c r="F226" t="str">
        <f>_xlfn.XLOOKUP(TBL_USUARIOS[[#This Row],[ID_MASSA]],tbl_de_massas[id_massa],tbl_de_massas[cartao_fisico_cvv],"--",0,1)</f>
        <v>300</v>
      </c>
      <c r="G226" t="str">
        <f>_xlfn.XLOOKUP(TBL_USUARIOS[[#This Row],[ID_MASSA]],tbl_de_massas[id_massa],tbl_de_massas[cartao_virtual_numero],"--",0,1)</f>
        <v/>
      </c>
      <c r="H226">
        <f>_xlfn.XLOOKUP(TBL_USUARIOS[[#This Row],[ID_MASSA]],tbl_de_massas[id_massa],tbl_de_massas[cartao_virtual_cvv],"--",0,1)</f>
        <v>0</v>
      </c>
    </row>
    <row r="227" spans="1:8" x14ac:dyDescent="0.25">
      <c r="A227" s="2" t="s">
        <v>2252</v>
      </c>
      <c r="B227" s="14" t="str">
        <f>_xlfn.XLOOKUP(TBL_USUARIOS[[#This Row],[ID_MASSA]],tbl_de_massas[id_massa],tbl_de_massas[cpf],"--",0,1)</f>
        <v>54451216311</v>
      </c>
      <c r="C227" t="s">
        <v>2489</v>
      </c>
      <c r="D227" t="str">
        <f>_xlfn.XLOOKUP(TBL_USUARIOS[[#This Row],[ID_MASSA]],tbl_de_massas[id_massa],tbl_de_massas[nome_completo],"--",0,1)</f>
        <v>Joao Miguel Franco</v>
      </c>
      <c r="E227" t="str">
        <f>_xlfn.XLOOKUP(TBL_USUARIOS[[#This Row],[ID_MASSA]],tbl_de_massas[id_massa],tbl_de_massas[cartao_fisico_numero],"--",0,1)</f>
        <v>5364 2660 0630 5144</v>
      </c>
      <c r="F227" t="str">
        <f>_xlfn.XLOOKUP(TBL_USUARIOS[[#This Row],[ID_MASSA]],tbl_de_massas[id_massa],tbl_de_massas[cartao_fisico_cvv],"--",0,1)</f>
        <v>311</v>
      </c>
      <c r="G227" t="str">
        <f>_xlfn.XLOOKUP(TBL_USUARIOS[[#This Row],[ID_MASSA]],tbl_de_massas[id_massa],tbl_de_massas[cartao_virtual_numero],"--",0,1)</f>
        <v/>
      </c>
      <c r="H227">
        <f>_xlfn.XLOOKUP(TBL_USUARIOS[[#This Row],[ID_MASSA]],tbl_de_massas[id_massa],tbl_de_massas[cartao_virtual_cvv],"--",0,1)</f>
        <v>0</v>
      </c>
    </row>
    <row r="228" spans="1:8" x14ac:dyDescent="0.25">
      <c r="A228" s="2" t="s">
        <v>2253</v>
      </c>
      <c r="B228" s="14" t="str">
        <f>_xlfn.XLOOKUP(TBL_USUARIOS[[#This Row],[ID_MASSA]],tbl_de_massas[id_massa],tbl_de_massas[cpf],"--",0,1)</f>
        <v>23915031801</v>
      </c>
      <c r="C228" t="s">
        <v>2490</v>
      </c>
      <c r="D228" t="str">
        <f>_xlfn.XLOOKUP(TBL_USUARIOS[[#This Row],[ID_MASSA]],tbl_de_massas[id_massa],tbl_de_massas[nome_completo],"--",0,1)</f>
        <v>Liz Batista</v>
      </c>
      <c r="E228" t="str">
        <f>_xlfn.XLOOKUP(TBL_USUARIOS[[#This Row],[ID_MASSA]],tbl_de_massas[id_massa],tbl_de_massas[cartao_fisico_numero],"--",0,1)</f>
        <v>5364 2660 3743 2404</v>
      </c>
      <c r="F228" t="str">
        <f>_xlfn.XLOOKUP(TBL_USUARIOS[[#This Row],[ID_MASSA]],tbl_de_massas[id_massa],tbl_de_massas[cartao_fisico_cvv],"--",0,1)</f>
        <v>801</v>
      </c>
      <c r="G228" t="str">
        <f>_xlfn.XLOOKUP(TBL_USUARIOS[[#This Row],[ID_MASSA]],tbl_de_massas[id_massa],tbl_de_massas[cartao_virtual_numero],"--",0,1)</f>
        <v/>
      </c>
      <c r="H228">
        <f>_xlfn.XLOOKUP(TBL_USUARIOS[[#This Row],[ID_MASSA]],tbl_de_massas[id_massa],tbl_de_massas[cartao_virtual_cvv],"--",0,1)</f>
        <v>0</v>
      </c>
    </row>
    <row r="229" spans="1:8" x14ac:dyDescent="0.25">
      <c r="A229" s="2" t="s">
        <v>2491</v>
      </c>
      <c r="B229" s="14" t="str">
        <f>_xlfn.XLOOKUP(TBL_USUARIOS[[#This Row],[ID_MASSA]],tbl_de_massas[id_massa],tbl_de_massas[cpf],"--",0,1)</f>
        <v>38780699103</v>
      </c>
      <c r="C229" t="s">
        <v>2726</v>
      </c>
      <c r="D229" t="str">
        <f>_xlfn.XLOOKUP(TBL_USUARIOS[[#This Row],[ID_MASSA]],tbl_de_massas[id_massa],tbl_de_massas[nome_completo],"--",0,1)</f>
        <v>Fabricia Souza</v>
      </c>
      <c r="E229" t="str">
        <f>_xlfn.XLOOKUP(TBL_USUARIOS[[#This Row],[ID_MASSA]],tbl_de_massas[id_massa],tbl_de_massas[cartao_fisico_numero],"--",0,1)</f>
        <v>5442 7460 6561 9937</v>
      </c>
      <c r="F229" t="str">
        <f>_xlfn.XLOOKUP(TBL_USUARIOS[[#This Row],[ID_MASSA]],tbl_de_massas[id_massa],tbl_de_massas[cartao_fisico_cvv],"--",0,1)</f>
        <v>103</v>
      </c>
      <c r="G229" t="str">
        <f>_xlfn.XLOOKUP(TBL_USUARIOS[[#This Row],[ID_MASSA]],tbl_de_massas[id_massa],tbl_de_massas[cartao_virtual_numero],"--",0,1)</f>
        <v/>
      </c>
      <c r="H229">
        <f>_xlfn.XLOOKUP(TBL_USUARIOS[[#This Row],[ID_MASSA]],tbl_de_massas[id_massa],tbl_de_massas[cartao_virtual_cvv],"--",0,1)</f>
        <v>0</v>
      </c>
    </row>
    <row r="230" spans="1:8" x14ac:dyDescent="0.25">
      <c r="A230" s="2" t="s">
        <v>2492</v>
      </c>
      <c r="B230" s="14" t="str">
        <f>_xlfn.XLOOKUP(TBL_USUARIOS[[#This Row],[ID_MASSA]],tbl_de_massas[id_massa],tbl_de_massas[cpf],"--",0,1)</f>
        <v>27146712338</v>
      </c>
      <c r="C230" t="s">
        <v>2727</v>
      </c>
      <c r="D230" t="str">
        <f>_xlfn.XLOOKUP(TBL_USUARIOS[[#This Row],[ID_MASSA]],tbl_de_massas[id_massa],tbl_de_massas[nome_completo],"--",0,1)</f>
        <v>Lucas Oliveira</v>
      </c>
      <c r="E230" t="str">
        <f>_xlfn.XLOOKUP(TBL_USUARIOS[[#This Row],[ID_MASSA]],tbl_de_massas[id_massa],tbl_de_massas[cartao_fisico_numero],"--",0,1)</f>
        <v>5442 7460 0832 9024</v>
      </c>
      <c r="F230" t="str">
        <f>_xlfn.XLOOKUP(TBL_USUARIOS[[#This Row],[ID_MASSA]],tbl_de_massas[id_massa],tbl_de_massas[cartao_fisico_cvv],"--",0,1)</f>
        <v>338</v>
      </c>
      <c r="G230" t="str">
        <f>_xlfn.XLOOKUP(TBL_USUARIOS[[#This Row],[ID_MASSA]],tbl_de_massas[id_massa],tbl_de_massas[cartao_virtual_numero],"--",0,1)</f>
        <v/>
      </c>
      <c r="H230">
        <f>_xlfn.XLOOKUP(TBL_USUARIOS[[#This Row],[ID_MASSA]],tbl_de_massas[id_massa],tbl_de_massas[cartao_virtual_cvv],"--",0,1)</f>
        <v>0</v>
      </c>
    </row>
    <row r="231" spans="1:8" x14ac:dyDescent="0.25">
      <c r="A231" s="2" t="s">
        <v>2493</v>
      </c>
      <c r="B231" s="14" t="str">
        <f>_xlfn.XLOOKUP(TBL_USUARIOS[[#This Row],[ID_MASSA]],tbl_de_massas[id_massa],tbl_de_massas[cpf],"--",0,1)</f>
        <v>12388853222</v>
      </c>
      <c r="C231" t="s">
        <v>2728</v>
      </c>
      <c r="D231" t="str">
        <f>_xlfn.XLOOKUP(TBL_USUARIOS[[#This Row],[ID_MASSA]],tbl_de_massas[id_massa],tbl_de_massas[nome_completo],"--",0,1)</f>
        <v>Daniel Costa</v>
      </c>
      <c r="E231" t="str">
        <f>_xlfn.XLOOKUP(TBL_USUARIOS[[#This Row],[ID_MASSA]],tbl_de_massas[id_massa],tbl_de_massas[cartao_fisico_numero],"--",0,1)</f>
        <v>5185 4460 0766 9386</v>
      </c>
      <c r="F231" t="str">
        <f>_xlfn.XLOOKUP(TBL_USUARIOS[[#This Row],[ID_MASSA]],tbl_de_massas[id_massa],tbl_de_massas[cartao_fisico_cvv],"--",0,1)</f>
        <v>222</v>
      </c>
      <c r="G231" t="str">
        <f>_xlfn.XLOOKUP(TBL_USUARIOS[[#This Row],[ID_MASSA]],tbl_de_massas[id_massa],tbl_de_massas[cartao_virtual_numero],"--",0,1)</f>
        <v/>
      </c>
      <c r="H231">
        <f>_xlfn.XLOOKUP(TBL_USUARIOS[[#This Row],[ID_MASSA]],tbl_de_massas[id_massa],tbl_de_massas[cartao_virtual_cvv],"--",0,1)</f>
        <v>0</v>
      </c>
    </row>
    <row r="232" spans="1:8" x14ac:dyDescent="0.25">
      <c r="A232" s="2" t="s">
        <v>2518</v>
      </c>
      <c r="B232" s="14" t="str">
        <f>_xlfn.XLOOKUP(TBL_USUARIOS[[#This Row],[ID_MASSA]],tbl_de_massas[id_massa],tbl_de_massas[cpf],"--",0,1)</f>
        <v>03665706173</v>
      </c>
      <c r="C232" t="s">
        <v>2729</v>
      </c>
      <c r="D232" t="str">
        <f>_xlfn.XLOOKUP(TBL_USUARIOS[[#This Row],[ID_MASSA]],tbl_de_massas[id_massa],tbl_de_massas[nome_completo],"--",0,1)</f>
        <v>Suelen Oliveira</v>
      </c>
      <c r="E232" t="str">
        <f>_xlfn.XLOOKUP(TBL_USUARIOS[[#This Row],[ID_MASSA]],tbl_de_massas[id_massa],tbl_de_massas[cartao_fisico_numero],"--",0,1)</f>
        <v>5185 4460 5544 6257</v>
      </c>
      <c r="F232" t="str">
        <f>_xlfn.XLOOKUP(TBL_USUARIOS[[#This Row],[ID_MASSA]],tbl_de_massas[id_massa],tbl_de_massas[cartao_fisico_cvv],"--",0,1)</f>
        <v>173</v>
      </c>
      <c r="G232" t="str">
        <f>_xlfn.XLOOKUP(TBL_USUARIOS[[#This Row],[ID_MASSA]],tbl_de_massas[id_massa],tbl_de_massas[cartao_virtual_numero],"--",0,1)</f>
        <v/>
      </c>
      <c r="H232">
        <f>_xlfn.XLOOKUP(TBL_USUARIOS[[#This Row],[ID_MASSA]],tbl_de_massas[id_massa],tbl_de_massas[cartao_virtual_cvv],"--",0,1)</f>
        <v>0</v>
      </c>
    </row>
    <row r="233" spans="1:8" x14ac:dyDescent="0.25">
      <c r="A233" s="2" t="s">
        <v>2519</v>
      </c>
      <c r="B233" s="14" t="str">
        <f>_xlfn.XLOOKUP(TBL_USUARIOS[[#This Row],[ID_MASSA]],tbl_de_massas[id_massa],tbl_de_massas[cpf],"--",0,1)</f>
        <v>92226402250</v>
      </c>
      <c r="C233" t="s">
        <v>2730</v>
      </c>
      <c r="D233" t="str">
        <f>_xlfn.XLOOKUP(TBL_USUARIOS[[#This Row],[ID_MASSA]],tbl_de_massas[id_massa],tbl_de_massas[nome_completo],"--",0,1)</f>
        <v>Marina Carvalho</v>
      </c>
      <c r="E233" t="str">
        <f>_xlfn.XLOOKUP(TBL_USUARIOS[[#This Row],[ID_MASSA]],tbl_de_massas[id_massa],tbl_de_massas[cartao_fisico_numero],"--",0,1)</f>
        <v>5364 2660 1905 5884</v>
      </c>
      <c r="F233" t="str">
        <f>_xlfn.XLOOKUP(TBL_USUARIOS[[#This Row],[ID_MASSA]],tbl_de_massas[id_massa],tbl_de_massas[cartao_fisico_cvv],"--",0,1)</f>
        <v>250</v>
      </c>
      <c r="G233" t="str">
        <f>_xlfn.XLOOKUP(TBL_USUARIOS[[#This Row],[ID_MASSA]],tbl_de_massas[id_massa],tbl_de_massas[cartao_virtual_numero],"--",0,1)</f>
        <v/>
      </c>
      <c r="H233">
        <f>_xlfn.XLOOKUP(TBL_USUARIOS[[#This Row],[ID_MASSA]],tbl_de_massas[id_massa],tbl_de_massas[cartao_virtual_cvv],"--",0,1)</f>
        <v>0</v>
      </c>
    </row>
    <row r="234" spans="1:8" x14ac:dyDescent="0.25">
      <c r="A234" s="2" t="s">
        <v>2520</v>
      </c>
      <c r="B234" s="14" t="str">
        <f>_xlfn.XLOOKUP(TBL_USUARIOS[[#This Row],[ID_MASSA]],tbl_de_massas[id_massa],tbl_de_massas[cpf],"--",0,1)</f>
        <v>98362511206</v>
      </c>
      <c r="C234" t="s">
        <v>2731</v>
      </c>
      <c r="D234" t="str">
        <f>_xlfn.XLOOKUP(TBL_USUARIOS[[#This Row],[ID_MASSA]],tbl_de_massas[id_massa],tbl_de_massas[nome_completo],"--",0,1)</f>
        <v>Maria Santos</v>
      </c>
      <c r="E234" t="str">
        <f>_xlfn.XLOOKUP(TBL_USUARIOS[[#This Row],[ID_MASSA]],tbl_de_massas[id_massa],tbl_de_massas[cartao_fisico_numero],"--",0,1)</f>
        <v>5364 2660 1540 4490</v>
      </c>
      <c r="F234" t="str">
        <f>_xlfn.XLOOKUP(TBL_USUARIOS[[#This Row],[ID_MASSA]],tbl_de_massas[id_massa],tbl_de_massas[cartao_fisico_cvv],"--",0,1)</f>
        <v>206</v>
      </c>
      <c r="G234" t="str">
        <f>_xlfn.XLOOKUP(TBL_USUARIOS[[#This Row],[ID_MASSA]],tbl_de_massas[id_massa],tbl_de_massas[cartao_virtual_numero],"--",0,1)</f>
        <v/>
      </c>
      <c r="H234">
        <f>_xlfn.XLOOKUP(TBL_USUARIOS[[#This Row],[ID_MASSA]],tbl_de_massas[id_massa],tbl_de_massas[cartao_virtual_cvv],"--",0,1)</f>
        <v>0</v>
      </c>
    </row>
    <row r="235" spans="1:8" x14ac:dyDescent="0.25">
      <c r="A235" s="2" t="s">
        <v>2521</v>
      </c>
      <c r="B235" s="14" t="str">
        <f>_xlfn.XLOOKUP(TBL_USUARIOS[[#This Row],[ID_MASSA]],tbl_de_massas[id_massa],tbl_de_massas[cpf],"--",0,1)</f>
        <v>01424679958</v>
      </c>
      <c r="C235" t="s">
        <v>2732</v>
      </c>
      <c r="D235" t="str">
        <f>_xlfn.XLOOKUP(TBL_USUARIOS[[#This Row],[ID_MASSA]],tbl_de_massas[id_massa],tbl_de_massas[nome_completo],"--",0,1)</f>
        <v>Henrique Moraes</v>
      </c>
      <c r="E235" t="str">
        <f>_xlfn.XLOOKUP(TBL_USUARIOS[[#This Row],[ID_MASSA]],tbl_de_massas[id_massa],tbl_de_massas[cartao_fisico_numero],"--",0,1)</f>
        <v>5373 6360 3167 0911</v>
      </c>
      <c r="F235" t="str">
        <f>_xlfn.XLOOKUP(TBL_USUARIOS[[#This Row],[ID_MASSA]],tbl_de_massas[id_massa],tbl_de_massas[cartao_fisico_cvv],"--",0,1)</f>
        <v>958</v>
      </c>
      <c r="G235" t="str">
        <f>_xlfn.XLOOKUP(TBL_USUARIOS[[#This Row],[ID_MASSA]],tbl_de_massas[id_massa],tbl_de_massas[cartao_virtual_numero],"--",0,1)</f>
        <v/>
      </c>
      <c r="H235">
        <f>_xlfn.XLOOKUP(TBL_USUARIOS[[#This Row],[ID_MASSA]],tbl_de_massas[id_massa],tbl_de_massas[cartao_virtual_cvv],"--",0,1)</f>
        <v>0</v>
      </c>
    </row>
    <row r="236" spans="1:8" x14ac:dyDescent="0.25">
      <c r="A236" s="2" t="s">
        <v>2522</v>
      </c>
      <c r="B236" s="14" t="str">
        <f>_xlfn.XLOOKUP(TBL_USUARIOS[[#This Row],[ID_MASSA]],tbl_de_massas[id_massa],tbl_de_massas[cpf],"--",0,1)</f>
        <v>56457538797</v>
      </c>
      <c r="C236" t="s">
        <v>2733</v>
      </c>
      <c r="D236" t="str">
        <f>_xlfn.XLOOKUP(TBL_USUARIOS[[#This Row],[ID_MASSA]],tbl_de_massas[id_massa],tbl_de_massas[nome_completo],"--",0,1)</f>
        <v>Alexandre Costa</v>
      </c>
      <c r="E236" t="str">
        <f>_xlfn.XLOOKUP(TBL_USUARIOS[[#This Row],[ID_MASSA]],tbl_de_massas[id_massa],tbl_de_massas[cartao_fisico_numero],"--",0,1)</f>
        <v>5373 6360 3965 4669</v>
      </c>
      <c r="F236" t="str">
        <f>_xlfn.XLOOKUP(TBL_USUARIOS[[#This Row],[ID_MASSA]],tbl_de_massas[id_massa],tbl_de_massas[cartao_fisico_cvv],"--",0,1)</f>
        <v>797</v>
      </c>
      <c r="G236" t="str">
        <f>_xlfn.XLOOKUP(TBL_USUARIOS[[#This Row],[ID_MASSA]],tbl_de_massas[id_massa],tbl_de_massas[cartao_virtual_numero],"--",0,1)</f>
        <v/>
      </c>
      <c r="H236">
        <f>_xlfn.XLOOKUP(TBL_USUARIOS[[#This Row],[ID_MASSA]],tbl_de_massas[id_massa],tbl_de_massas[cartao_virtual_cvv],"--",0,1)</f>
        <v>0</v>
      </c>
    </row>
    <row r="237" spans="1:8" x14ac:dyDescent="0.25">
      <c r="A237" s="2" t="s">
        <v>2523</v>
      </c>
      <c r="B237" s="14" t="str">
        <f>_xlfn.XLOOKUP(TBL_USUARIOS[[#This Row],[ID_MASSA]],tbl_de_massas[id_massa],tbl_de_massas[cpf],"--",0,1)</f>
        <v>79772936330</v>
      </c>
      <c r="C237" t="s">
        <v>2734</v>
      </c>
      <c r="D237" t="str">
        <f>_xlfn.XLOOKUP(TBL_USUARIOS[[#This Row],[ID_MASSA]],tbl_de_massas[id_massa],tbl_de_massas[nome_completo],"--",0,1)</f>
        <v>Ana Clara Barros</v>
      </c>
      <c r="E237" t="str">
        <f>_xlfn.XLOOKUP(TBL_USUARIOS[[#This Row],[ID_MASSA]],tbl_de_massas[id_massa],tbl_de_massas[cartao_fisico_numero],"--",0,1)</f>
        <v>5373 6360 3461 7570</v>
      </c>
      <c r="F237" t="str">
        <f>_xlfn.XLOOKUP(TBL_USUARIOS[[#This Row],[ID_MASSA]],tbl_de_massas[id_massa],tbl_de_massas[cartao_fisico_cvv],"--",0,1)</f>
        <v>330</v>
      </c>
      <c r="G237" t="str">
        <f>_xlfn.XLOOKUP(TBL_USUARIOS[[#This Row],[ID_MASSA]],tbl_de_massas[id_massa],tbl_de_massas[cartao_virtual_numero],"--",0,1)</f>
        <v/>
      </c>
      <c r="H237">
        <f>_xlfn.XLOOKUP(TBL_USUARIOS[[#This Row],[ID_MASSA]],tbl_de_massas[id_massa],tbl_de_massas[cartao_virtual_cvv],"--",0,1)</f>
        <v>0</v>
      </c>
    </row>
    <row r="238" spans="1:8" x14ac:dyDescent="0.25">
      <c r="A238" s="2" t="s">
        <v>2524</v>
      </c>
      <c r="B238" s="14" t="str">
        <f>_xlfn.XLOOKUP(TBL_USUARIOS[[#This Row],[ID_MASSA]],tbl_de_massas[id_massa],tbl_de_massas[cpf],"--",0,1)</f>
        <v>77485258974</v>
      </c>
      <c r="C238" t="s">
        <v>2735</v>
      </c>
      <c r="D238" t="str">
        <f>_xlfn.XLOOKUP(TBL_USUARIOS[[#This Row],[ID_MASSA]],tbl_de_massas[id_massa],tbl_de_massas[nome_completo],"--",0,1)</f>
        <v>Nicolas Reis</v>
      </c>
      <c r="E238" t="str">
        <f>_xlfn.XLOOKUP(TBL_USUARIOS[[#This Row],[ID_MASSA]],tbl_de_massas[id_massa],tbl_de_massas[cartao_fisico_numero],"--",0,1)</f>
        <v>5185 4460 3712 0103</v>
      </c>
      <c r="F238" t="str">
        <f>_xlfn.XLOOKUP(TBL_USUARIOS[[#This Row],[ID_MASSA]],tbl_de_massas[id_massa],tbl_de_massas[cartao_fisico_cvv],"--",0,1)</f>
        <v>974</v>
      </c>
      <c r="G238" t="str">
        <f>_xlfn.XLOOKUP(TBL_USUARIOS[[#This Row],[ID_MASSA]],tbl_de_massas[id_massa],tbl_de_massas[cartao_virtual_numero],"--",0,1)</f>
        <v/>
      </c>
      <c r="H238">
        <f>_xlfn.XLOOKUP(TBL_USUARIOS[[#This Row],[ID_MASSA]],tbl_de_massas[id_massa],tbl_de_massas[cartao_virtual_cvv],"--",0,1)</f>
        <v>0</v>
      </c>
    </row>
    <row r="239" spans="1:8" x14ac:dyDescent="0.25">
      <c r="A239" s="2" t="s">
        <v>2525</v>
      </c>
      <c r="B239" s="14" t="str">
        <f>_xlfn.XLOOKUP(TBL_USUARIOS[[#This Row],[ID_MASSA]],tbl_de_massas[id_massa],tbl_de_massas[cpf],"--",0,1)</f>
        <v>65487063583</v>
      </c>
      <c r="C239" t="s">
        <v>2736</v>
      </c>
      <c r="D239" t="str">
        <f>_xlfn.XLOOKUP(TBL_USUARIOS[[#This Row],[ID_MASSA]],tbl_de_massas[id_massa],tbl_de_massas[nome_completo],"--",0,1)</f>
        <v>Julio Xavier</v>
      </c>
      <c r="E239" t="str">
        <f>_xlfn.XLOOKUP(TBL_USUARIOS[[#This Row],[ID_MASSA]],tbl_de_massas[id_massa],tbl_de_massas[cartao_fisico_numero],"--",0,1)</f>
        <v>5373 6360 1646 7101</v>
      </c>
      <c r="F239" t="str">
        <f>_xlfn.XLOOKUP(TBL_USUARIOS[[#This Row],[ID_MASSA]],tbl_de_massas[id_massa],tbl_de_massas[cartao_fisico_cvv],"--",0,1)</f>
        <v>583</v>
      </c>
      <c r="G239" t="str">
        <f>_xlfn.XLOOKUP(TBL_USUARIOS[[#This Row],[ID_MASSA]],tbl_de_massas[id_massa],tbl_de_massas[cartao_virtual_numero],"--",0,1)</f>
        <v/>
      </c>
      <c r="H239">
        <f>_xlfn.XLOOKUP(TBL_USUARIOS[[#This Row],[ID_MASSA]],tbl_de_massas[id_massa],tbl_de_massas[cartao_virtual_cvv],"--",0,1)</f>
        <v>0</v>
      </c>
    </row>
    <row r="240" spans="1:8" x14ac:dyDescent="0.25">
      <c r="A240" s="2" t="s">
        <v>2526</v>
      </c>
      <c r="B240" s="14" t="str">
        <f>_xlfn.XLOOKUP(TBL_USUARIOS[[#This Row],[ID_MASSA]],tbl_de_massas[id_massa],tbl_de_massas[cpf],"--",0,1)</f>
        <v>88888888889</v>
      </c>
      <c r="C240" t="s">
        <v>2737</v>
      </c>
      <c r="D240" t="str">
        <f>_xlfn.XLOOKUP(TBL_USUARIOS[[#This Row],[ID_MASSA]],tbl_de_massas[id_massa],tbl_de_massas[nome_completo],"--",0,1)</f>
        <v>teste teste</v>
      </c>
      <c r="E240" t="str">
        <f>_xlfn.XLOOKUP(TBL_USUARIOS[[#This Row],[ID_MASSA]],tbl_de_massas[id_massa],tbl_de_massas[cartao_fisico_numero],"--",0,1)</f>
        <v>5442 7460 6181 1207</v>
      </c>
      <c r="F240" t="str">
        <f>_xlfn.XLOOKUP(TBL_USUARIOS[[#This Row],[ID_MASSA]],tbl_de_massas[id_massa],tbl_de_massas[cartao_fisico_cvv],"--",0,1)</f>
        <v>889</v>
      </c>
      <c r="G240" t="str">
        <f>_xlfn.XLOOKUP(TBL_USUARIOS[[#This Row],[ID_MASSA]],tbl_de_massas[id_massa],tbl_de_massas[cartao_virtual_numero],"--",0,1)</f>
        <v/>
      </c>
      <c r="H240">
        <f>_xlfn.XLOOKUP(TBL_USUARIOS[[#This Row],[ID_MASSA]],tbl_de_massas[id_massa],tbl_de_massas[cartao_virtual_cvv],"--",0,1)</f>
        <v>0</v>
      </c>
    </row>
    <row r="241" spans="1:8" x14ac:dyDescent="0.25">
      <c r="A241" s="2" t="s">
        <v>2527</v>
      </c>
      <c r="B241" s="14" t="str">
        <f>_xlfn.XLOOKUP(TBL_USUARIOS[[#This Row],[ID_MASSA]],tbl_de_massas[id_massa],tbl_de_massas[cpf],"--",0,1)</f>
        <v>12312312312</v>
      </c>
      <c r="C241" t="s">
        <v>2738</v>
      </c>
      <c r="D241" t="str">
        <f>_xlfn.XLOOKUP(TBL_USUARIOS[[#This Row],[ID_MASSA]],tbl_de_massas[id_massa],tbl_de_massas[nome_completo],"--",0,1)</f>
        <v>Broder jonas</v>
      </c>
      <c r="E241" t="str">
        <f>_xlfn.XLOOKUP(TBL_USUARIOS[[#This Row],[ID_MASSA]],tbl_de_massas[id_massa],tbl_de_massas[cartao_fisico_numero],"--",0,1)</f>
        <v>5373 6360 9094 8588</v>
      </c>
      <c r="F241" t="str">
        <f>_xlfn.XLOOKUP(TBL_USUARIOS[[#This Row],[ID_MASSA]],tbl_de_massas[id_massa],tbl_de_massas[cartao_fisico_cvv],"--",0,1)</f>
        <v>312</v>
      </c>
      <c r="G241" t="str">
        <f>_xlfn.XLOOKUP(TBL_USUARIOS[[#This Row],[ID_MASSA]],tbl_de_massas[id_massa],tbl_de_massas[cartao_virtual_numero],"--",0,1)</f>
        <v/>
      </c>
      <c r="H241">
        <f>_xlfn.XLOOKUP(TBL_USUARIOS[[#This Row],[ID_MASSA]],tbl_de_massas[id_massa],tbl_de_massas[cartao_virtual_cvv],"--",0,1)</f>
        <v>0</v>
      </c>
    </row>
    <row r="242" spans="1:8" x14ac:dyDescent="0.25">
      <c r="A242" s="2" t="s">
        <v>2528</v>
      </c>
      <c r="B242" s="14" t="str">
        <f>_xlfn.XLOOKUP(TBL_USUARIOS[[#This Row],[ID_MASSA]],tbl_de_massas[id_massa],tbl_de_massas[cpf],"--",0,1)</f>
        <v>12312312388</v>
      </c>
      <c r="C242" t="s">
        <v>2739</v>
      </c>
      <c r="D242" t="str">
        <f>_xlfn.XLOOKUP(TBL_USUARIOS[[#This Row],[ID_MASSA]],tbl_de_massas[id_massa],tbl_de_massas[nome_completo],"--",0,1)</f>
        <v>Broder jonas</v>
      </c>
      <c r="E242" t="str">
        <f>_xlfn.XLOOKUP(TBL_USUARIOS[[#This Row],[ID_MASSA]],tbl_de_massas[id_massa],tbl_de_massas[cartao_fisico_numero],"--",0,1)</f>
        <v>5185 4460 2657 3346</v>
      </c>
      <c r="F242" t="str">
        <f>_xlfn.XLOOKUP(TBL_USUARIOS[[#This Row],[ID_MASSA]],tbl_de_massas[id_massa],tbl_de_massas[cartao_fisico_cvv],"--",0,1)</f>
        <v>388</v>
      </c>
      <c r="G242" t="str">
        <f>_xlfn.XLOOKUP(TBL_USUARIOS[[#This Row],[ID_MASSA]],tbl_de_massas[id_massa],tbl_de_massas[cartao_virtual_numero],"--",0,1)</f>
        <v/>
      </c>
      <c r="H242">
        <f>_xlfn.XLOOKUP(TBL_USUARIOS[[#This Row],[ID_MASSA]],tbl_de_massas[id_massa],tbl_de_massas[cartao_virtual_cvv],"--",0,1)</f>
        <v>0</v>
      </c>
    </row>
    <row r="243" spans="1:8" x14ac:dyDescent="0.25">
      <c r="A243" s="2" t="s">
        <v>2529</v>
      </c>
      <c r="B243" s="14" t="str">
        <f>_xlfn.XLOOKUP(TBL_USUARIOS[[#This Row],[ID_MASSA]],tbl_de_massas[id_massa],tbl_de_massas[cpf],"--",0,1)</f>
        <v>75632149875</v>
      </c>
      <c r="C243" t="s">
        <v>2740</v>
      </c>
      <c r="D243" t="str">
        <f>_xlfn.XLOOKUP(TBL_USUARIOS[[#This Row],[ID_MASSA]],tbl_de_massas[id_massa],tbl_de_massas[nome_completo],"--",0,1)</f>
        <v>Broder jonas</v>
      </c>
      <c r="E243" t="str">
        <f>_xlfn.XLOOKUP(TBL_USUARIOS[[#This Row],[ID_MASSA]],tbl_de_massas[id_massa],tbl_de_massas[cartao_fisico_numero],"--",0,1)</f>
        <v>5373 6360 0033 6346</v>
      </c>
      <c r="F243" t="str">
        <f>_xlfn.XLOOKUP(TBL_USUARIOS[[#This Row],[ID_MASSA]],tbl_de_massas[id_massa],tbl_de_massas[cartao_fisico_cvv],"--",0,1)</f>
        <v>875</v>
      </c>
      <c r="G243" t="str">
        <f>_xlfn.XLOOKUP(TBL_USUARIOS[[#This Row],[ID_MASSA]],tbl_de_massas[id_massa],tbl_de_massas[cartao_virtual_numero],"--",0,1)</f>
        <v/>
      </c>
      <c r="H243">
        <f>_xlfn.XLOOKUP(TBL_USUARIOS[[#This Row],[ID_MASSA]],tbl_de_massas[id_massa],tbl_de_massas[cartao_virtual_cvv],"--",0,1)</f>
        <v>0</v>
      </c>
    </row>
    <row r="244" spans="1:8" x14ac:dyDescent="0.25">
      <c r="A244" s="2" t="s">
        <v>2530</v>
      </c>
      <c r="B244" s="14" t="str">
        <f>_xlfn.XLOOKUP(TBL_USUARIOS[[#This Row],[ID_MASSA]],tbl_de_massas[id_massa],tbl_de_massas[cpf],"--",0,1)</f>
        <v>87533086465</v>
      </c>
      <c r="C244" t="s">
        <v>2741</v>
      </c>
      <c r="D244" t="str">
        <f>_xlfn.XLOOKUP(TBL_USUARIOS[[#This Row],[ID_MASSA]],tbl_de_massas[id_massa],tbl_de_massas[nome_completo],"--",0,1)</f>
        <v>Heitor Martins</v>
      </c>
      <c r="E244" t="str">
        <f>_xlfn.XLOOKUP(TBL_USUARIOS[[#This Row],[ID_MASSA]],tbl_de_massas[id_massa],tbl_de_massas[cartao_fisico_numero],"--",0,1)</f>
        <v>3400 800082 82627</v>
      </c>
      <c r="F244" t="str">
        <f>_xlfn.XLOOKUP(TBL_USUARIOS[[#This Row],[ID_MASSA]],tbl_de_massas[id_massa],tbl_de_massas[cartao_fisico_cvv],"--",0,1)</f>
        <v>465</v>
      </c>
      <c r="G244" t="str">
        <f>_xlfn.XLOOKUP(TBL_USUARIOS[[#This Row],[ID_MASSA]],tbl_de_massas[id_massa],tbl_de_massas[cartao_virtual_numero],"--",0,1)</f>
        <v/>
      </c>
      <c r="H244">
        <f>_xlfn.XLOOKUP(TBL_USUARIOS[[#This Row],[ID_MASSA]],tbl_de_massas[id_massa],tbl_de_massas[cartao_virtual_cvv],"--",0,1)</f>
        <v>0</v>
      </c>
    </row>
    <row r="245" spans="1:8" x14ac:dyDescent="0.25">
      <c r="A245" s="2" t="s">
        <v>2531</v>
      </c>
      <c r="B245" s="14" t="str">
        <f>_xlfn.XLOOKUP(TBL_USUARIOS[[#This Row],[ID_MASSA]],tbl_de_massas[id_massa],tbl_de_massas[cpf],"--",0,1)</f>
        <v>34830475226</v>
      </c>
      <c r="C245" t="s">
        <v>2742</v>
      </c>
      <c r="D245" t="str">
        <f>_xlfn.XLOOKUP(TBL_USUARIOS[[#This Row],[ID_MASSA]],tbl_de_massas[id_massa],tbl_de_massas[nome_completo],"--",0,1)</f>
        <v>Dalila Pereira</v>
      </c>
      <c r="E245" t="str">
        <f>_xlfn.XLOOKUP(TBL_USUARIOS[[#This Row],[ID_MASSA]],tbl_de_massas[id_massa],tbl_de_massas[cartao_fisico_numero],"--",0,1)</f>
        <v>5185 4460 4080 9494</v>
      </c>
      <c r="F245" t="str">
        <f>_xlfn.XLOOKUP(TBL_USUARIOS[[#This Row],[ID_MASSA]],tbl_de_massas[id_massa],tbl_de_massas[cartao_fisico_cvv],"--",0,1)</f>
        <v>226</v>
      </c>
      <c r="G245" t="str">
        <f>_xlfn.XLOOKUP(TBL_USUARIOS[[#This Row],[ID_MASSA]],tbl_de_massas[id_massa],tbl_de_massas[cartao_virtual_numero],"--",0,1)</f>
        <v/>
      </c>
      <c r="H245">
        <f>_xlfn.XLOOKUP(TBL_USUARIOS[[#This Row],[ID_MASSA]],tbl_de_massas[id_massa],tbl_de_massas[cartao_virtual_cvv],"--",0,1)</f>
        <v>0</v>
      </c>
    </row>
    <row r="246" spans="1:8" x14ac:dyDescent="0.25">
      <c r="A246" s="2" t="s">
        <v>2532</v>
      </c>
      <c r="B246" s="14" t="str">
        <f>_xlfn.XLOOKUP(TBL_USUARIOS[[#This Row],[ID_MASSA]],tbl_de_massas[id_massa],tbl_de_massas[cpf],"--",0,1)</f>
        <v>00273860585</v>
      </c>
      <c r="C246" t="s">
        <v>2743</v>
      </c>
      <c r="D246" t="str">
        <f>_xlfn.XLOOKUP(TBL_USUARIOS[[#This Row],[ID_MASSA]],tbl_de_massas[id_massa],tbl_de_massas[nome_completo],"--",0,1)</f>
        <v>Pedro Nogueira</v>
      </c>
      <c r="E246" t="str">
        <f>_xlfn.XLOOKUP(TBL_USUARIOS[[#This Row],[ID_MASSA]],tbl_de_massas[id_massa],tbl_de_massas[cartao_fisico_numero],"--",0,1)</f>
        <v>5442 7460 9732 0132</v>
      </c>
      <c r="F246" t="str">
        <f>_xlfn.XLOOKUP(TBL_USUARIOS[[#This Row],[ID_MASSA]],tbl_de_massas[id_massa],tbl_de_massas[cartao_fisico_cvv],"--",0,1)</f>
        <v>585</v>
      </c>
      <c r="G246" t="str">
        <f>_xlfn.XLOOKUP(TBL_USUARIOS[[#This Row],[ID_MASSA]],tbl_de_massas[id_massa],tbl_de_massas[cartao_virtual_numero],"--",0,1)</f>
        <v/>
      </c>
      <c r="H246">
        <f>_xlfn.XLOOKUP(TBL_USUARIOS[[#This Row],[ID_MASSA]],tbl_de_massas[id_massa],tbl_de_massas[cartao_virtual_cvv],"--",0,1)</f>
        <v>0</v>
      </c>
    </row>
    <row r="247" spans="1:8" x14ac:dyDescent="0.25">
      <c r="A247" s="2" t="s">
        <v>2533</v>
      </c>
      <c r="B247" s="14" t="str">
        <f>_xlfn.XLOOKUP(TBL_USUARIOS[[#This Row],[ID_MASSA]],tbl_de_massas[id_massa],tbl_de_massas[cpf],"--",0,1)</f>
        <v>37044231578</v>
      </c>
      <c r="C247" t="s">
        <v>2744</v>
      </c>
      <c r="D247" t="str">
        <f>_xlfn.XLOOKUP(TBL_USUARIOS[[#This Row],[ID_MASSA]],tbl_de_massas[id_massa],tbl_de_massas[nome_completo],"--",0,1)</f>
        <v>Fabricio Braga</v>
      </c>
      <c r="E247" t="str">
        <f>_xlfn.XLOOKUP(TBL_USUARIOS[[#This Row],[ID_MASSA]],tbl_de_massas[id_massa],tbl_de_massas[cartao_fisico_numero],"--",0,1)</f>
        <v>3714 800030 22204</v>
      </c>
      <c r="F247" t="str">
        <f>_xlfn.XLOOKUP(TBL_USUARIOS[[#This Row],[ID_MASSA]],tbl_de_massas[id_massa],tbl_de_massas[cartao_fisico_cvv],"--",0,1)</f>
        <v>578</v>
      </c>
      <c r="G247" t="str">
        <f>_xlfn.XLOOKUP(TBL_USUARIOS[[#This Row],[ID_MASSA]],tbl_de_massas[id_massa],tbl_de_massas[cartao_virtual_numero],"--",0,1)</f>
        <v/>
      </c>
      <c r="H247">
        <f>_xlfn.XLOOKUP(TBL_USUARIOS[[#This Row],[ID_MASSA]],tbl_de_massas[id_massa],tbl_de_massas[cartao_virtual_cvv],"--",0,1)</f>
        <v>0</v>
      </c>
    </row>
    <row r="248" spans="1:8" x14ac:dyDescent="0.25">
      <c r="A248" s="2" t="s">
        <v>2534</v>
      </c>
      <c r="B248" s="14" t="str">
        <f>_xlfn.XLOOKUP(TBL_USUARIOS[[#This Row],[ID_MASSA]],tbl_de_massas[id_massa],tbl_de_massas[cpf],"--",0,1)</f>
        <v>95860922590</v>
      </c>
      <c r="C248" t="s">
        <v>2745</v>
      </c>
      <c r="D248" t="str">
        <f>_xlfn.XLOOKUP(TBL_USUARIOS[[#This Row],[ID_MASSA]],tbl_de_massas[id_massa],tbl_de_massas[nome_completo],"--",0,1)</f>
        <v>Washington Oliveira</v>
      </c>
      <c r="E248" t="str">
        <f>_xlfn.XLOOKUP(TBL_USUARIOS[[#This Row],[ID_MASSA]],tbl_de_massas[id_massa],tbl_de_massas[cartao_fisico_numero],"--",0,1)</f>
        <v>6062 8200 3828 9636</v>
      </c>
      <c r="F248" t="str">
        <f>_xlfn.XLOOKUP(TBL_USUARIOS[[#This Row],[ID_MASSA]],tbl_de_massas[id_massa],tbl_de_massas[cartao_fisico_cvv],"--",0,1)</f>
        <v>590</v>
      </c>
      <c r="G248" t="str">
        <f>_xlfn.XLOOKUP(TBL_USUARIOS[[#This Row],[ID_MASSA]],tbl_de_massas[id_massa],tbl_de_massas[cartao_virtual_numero],"--",0,1)</f>
        <v/>
      </c>
      <c r="H248">
        <f>_xlfn.XLOOKUP(TBL_USUARIOS[[#This Row],[ID_MASSA]],tbl_de_massas[id_massa],tbl_de_massas[cartao_virtual_cvv],"--",0,1)</f>
        <v>0</v>
      </c>
    </row>
    <row r="249" spans="1:8" x14ac:dyDescent="0.25">
      <c r="A249" s="2" t="s">
        <v>2535</v>
      </c>
      <c r="B249" s="14" t="str">
        <f>_xlfn.XLOOKUP(TBL_USUARIOS[[#This Row],[ID_MASSA]],tbl_de_massas[id_massa],tbl_de_massas[cpf],"--",0,1)</f>
        <v>53043536762</v>
      </c>
      <c r="C249" t="s">
        <v>2746</v>
      </c>
      <c r="D249" t="str">
        <f>_xlfn.XLOOKUP(TBL_USUARIOS[[#This Row],[ID_MASSA]],tbl_de_massas[id_massa],tbl_de_massas[nome_completo],"--",0,1)</f>
        <v>Julia Reis</v>
      </c>
      <c r="E249" t="str">
        <f>_xlfn.XLOOKUP(TBL_USUARIOS[[#This Row],[ID_MASSA]],tbl_de_massas[id_massa],tbl_de_massas[cartao_fisico_numero],"--",0,1)</f>
        <v>4576 7460 1411 7539</v>
      </c>
      <c r="F249" t="str">
        <f>_xlfn.XLOOKUP(TBL_USUARIOS[[#This Row],[ID_MASSA]],tbl_de_massas[id_massa],tbl_de_massas[cartao_fisico_cvv],"--",0,1)</f>
        <v>762</v>
      </c>
      <c r="G249" t="str">
        <f>_xlfn.XLOOKUP(TBL_USUARIOS[[#This Row],[ID_MASSA]],tbl_de_massas[id_massa],tbl_de_massas[cartao_virtual_numero],"--",0,1)</f>
        <v/>
      </c>
      <c r="H249">
        <f>_xlfn.XLOOKUP(TBL_USUARIOS[[#This Row],[ID_MASSA]],tbl_de_massas[id_massa],tbl_de_massas[cartao_virtual_cvv],"--",0,1)</f>
        <v>0</v>
      </c>
    </row>
    <row r="250" spans="1:8" x14ac:dyDescent="0.25">
      <c r="A250" s="2" t="s">
        <v>2536</v>
      </c>
      <c r="B250" s="14" t="str">
        <f>_xlfn.XLOOKUP(TBL_USUARIOS[[#This Row],[ID_MASSA]],tbl_de_massas[id_massa],tbl_de_massas[cpf],"--",0,1)</f>
        <v>05043431814</v>
      </c>
      <c r="C250" t="s">
        <v>2747</v>
      </c>
      <c r="D250" t="str">
        <f>_xlfn.XLOOKUP(TBL_USUARIOS[[#This Row],[ID_MASSA]],tbl_de_massas[id_massa],tbl_de_massas[nome_completo],"--",0,1)</f>
        <v>Morgana Macedo</v>
      </c>
      <c r="E250" t="str">
        <f>_xlfn.XLOOKUP(TBL_USUARIOS[[#This Row],[ID_MASSA]],tbl_de_massas[id_massa],tbl_de_massas[cartao_fisico_numero],"--",0,1)</f>
        <v>4576 7460 3018 3424</v>
      </c>
      <c r="F250" t="str">
        <f>_xlfn.XLOOKUP(TBL_USUARIOS[[#This Row],[ID_MASSA]],tbl_de_massas[id_massa],tbl_de_massas[cartao_fisico_cvv],"--",0,1)</f>
        <v>814</v>
      </c>
      <c r="G250" t="str">
        <f>_xlfn.XLOOKUP(TBL_USUARIOS[[#This Row],[ID_MASSA]],tbl_de_massas[id_massa],tbl_de_massas[cartao_virtual_numero],"--",0,1)</f>
        <v/>
      </c>
      <c r="H250">
        <f>_xlfn.XLOOKUP(TBL_USUARIOS[[#This Row],[ID_MASSA]],tbl_de_massas[id_massa],tbl_de_massas[cartao_virtual_cvv],"--",0,1)</f>
        <v>0</v>
      </c>
    </row>
    <row r="251" spans="1:8" x14ac:dyDescent="0.25">
      <c r="A251" s="2" t="s">
        <v>2537</v>
      </c>
      <c r="B251" s="14" t="str">
        <f>_xlfn.XLOOKUP(TBL_USUARIOS[[#This Row],[ID_MASSA]],tbl_de_massas[id_massa],tbl_de_massas[cpf],"--",0,1)</f>
        <v>95962548205</v>
      </c>
      <c r="C251" t="s">
        <v>2748</v>
      </c>
      <c r="D251" t="str">
        <f>_xlfn.XLOOKUP(TBL_USUARIOS[[#This Row],[ID_MASSA]],tbl_de_massas[id_massa],tbl_de_massas[nome_completo],"--",0,1)</f>
        <v>Tertuliano Silva</v>
      </c>
      <c r="E251" t="str">
        <f>_xlfn.XLOOKUP(TBL_USUARIOS[[#This Row],[ID_MASSA]],tbl_de_massas[id_massa],tbl_de_massas[cartao_fisico_numero],"--",0,1)</f>
        <v>6505 1960 7465 5476</v>
      </c>
      <c r="F251" t="str">
        <f>_xlfn.XLOOKUP(TBL_USUARIOS[[#This Row],[ID_MASSA]],tbl_de_massas[id_massa],tbl_de_massas[cartao_fisico_cvv],"--",0,1)</f>
        <v>205</v>
      </c>
      <c r="G251" t="str">
        <f>_xlfn.XLOOKUP(TBL_USUARIOS[[#This Row],[ID_MASSA]],tbl_de_massas[id_massa],tbl_de_massas[cartao_virtual_numero],"--",0,1)</f>
        <v/>
      </c>
      <c r="H251">
        <f>_xlfn.XLOOKUP(TBL_USUARIOS[[#This Row],[ID_MASSA]],tbl_de_massas[id_massa],tbl_de_massas[cartao_virtual_cvv],"--",0,1)</f>
        <v>0</v>
      </c>
    </row>
    <row r="252" spans="1:8" x14ac:dyDescent="0.25">
      <c r="A252" s="2" t="s">
        <v>2538</v>
      </c>
      <c r="B252" s="14" t="str">
        <f>_xlfn.XLOOKUP(TBL_USUARIOS[[#This Row],[ID_MASSA]],tbl_de_massas[id_massa],tbl_de_massas[cpf],"--",0,1)</f>
        <v>38839254897</v>
      </c>
      <c r="C252" t="s">
        <v>2749</v>
      </c>
      <c r="D252" t="str">
        <f>_xlfn.XLOOKUP(TBL_USUARIOS[[#This Row],[ID_MASSA]],tbl_de_massas[id_massa],tbl_de_massas[nome_completo],"--",0,1)</f>
        <v>Sarah Reis</v>
      </c>
      <c r="E252" t="str">
        <f>_xlfn.XLOOKUP(TBL_USUARIOS[[#This Row],[ID_MASSA]],tbl_de_massas[id_massa],tbl_de_massas[cartao_fisico_numero],"--",0,1)</f>
        <v>6062 8200 7050 9297</v>
      </c>
      <c r="F252" t="str">
        <f>_xlfn.XLOOKUP(TBL_USUARIOS[[#This Row],[ID_MASSA]],tbl_de_massas[id_massa],tbl_de_massas[cartao_fisico_cvv],"--",0,1)</f>
        <v>897</v>
      </c>
      <c r="G252" t="str">
        <f>_xlfn.XLOOKUP(TBL_USUARIOS[[#This Row],[ID_MASSA]],tbl_de_massas[id_massa],tbl_de_massas[cartao_virtual_numero],"--",0,1)</f>
        <v/>
      </c>
      <c r="H252">
        <f>_xlfn.XLOOKUP(TBL_USUARIOS[[#This Row],[ID_MASSA]],tbl_de_massas[id_massa],tbl_de_massas[cartao_virtual_cvv],"--",0,1)</f>
        <v>0</v>
      </c>
    </row>
    <row r="253" spans="1:8" x14ac:dyDescent="0.25">
      <c r="A253" s="2" t="s">
        <v>2539</v>
      </c>
      <c r="B253" s="14" t="str">
        <f>_xlfn.XLOOKUP(TBL_USUARIOS[[#This Row],[ID_MASSA]],tbl_de_massas[id_massa],tbl_de_massas[cpf],"--",0,1)</f>
        <v>17763275197</v>
      </c>
      <c r="C253" t="s">
        <v>2750</v>
      </c>
      <c r="D253" t="str">
        <f>_xlfn.XLOOKUP(TBL_USUARIOS[[#This Row],[ID_MASSA]],tbl_de_massas[id_massa],tbl_de_massas[nome_completo],"--",0,1)</f>
        <v>Alicia Moraes</v>
      </c>
      <c r="E253" t="str">
        <f>_xlfn.XLOOKUP(TBL_USUARIOS[[#This Row],[ID_MASSA]],tbl_de_massas[id_massa],tbl_de_massas[cartao_fisico_numero],"--",0,1)</f>
        <v>5442 7460 0745 5341</v>
      </c>
      <c r="F253" t="str">
        <f>_xlfn.XLOOKUP(TBL_USUARIOS[[#This Row],[ID_MASSA]],tbl_de_massas[id_massa],tbl_de_massas[cartao_fisico_cvv],"--",0,1)</f>
        <v>197</v>
      </c>
      <c r="G253" t="str">
        <f>_xlfn.XLOOKUP(TBL_USUARIOS[[#This Row],[ID_MASSA]],tbl_de_massas[id_massa],tbl_de_massas[cartao_virtual_numero],"--",0,1)</f>
        <v/>
      </c>
      <c r="H253">
        <f>_xlfn.XLOOKUP(TBL_USUARIOS[[#This Row],[ID_MASSA]],tbl_de_massas[id_massa],tbl_de_massas[cartao_virtual_cvv],"--",0,1)</f>
        <v>0</v>
      </c>
    </row>
    <row r="254" spans="1:8" x14ac:dyDescent="0.25">
      <c r="A254" s="2" t="s">
        <v>2540</v>
      </c>
      <c r="B254" s="14" t="str">
        <f>_xlfn.XLOOKUP(TBL_USUARIOS[[#This Row],[ID_MASSA]],tbl_de_massas[id_massa],tbl_de_massas[cpf],"--",0,1)</f>
        <v>52337380742</v>
      </c>
      <c r="C254" t="s">
        <v>2751</v>
      </c>
      <c r="D254" t="str">
        <f>_xlfn.XLOOKUP(TBL_USUARIOS[[#This Row],[ID_MASSA]],tbl_de_massas[id_massa],tbl_de_massas[nome_completo],"--",0,1)</f>
        <v>Marcelo Pereira</v>
      </c>
      <c r="E254" t="str">
        <f>_xlfn.XLOOKUP(TBL_USUARIOS[[#This Row],[ID_MASSA]],tbl_de_massas[id_massa],tbl_de_massas[cartao_fisico_numero],"--",0,1)</f>
        <v>4766 0760 5262 6492</v>
      </c>
      <c r="F254" t="str">
        <f>_xlfn.XLOOKUP(TBL_USUARIOS[[#This Row],[ID_MASSA]],tbl_de_massas[id_massa],tbl_de_massas[cartao_fisico_cvv],"--",0,1)</f>
        <v>742</v>
      </c>
      <c r="G254" t="str">
        <f>_xlfn.XLOOKUP(TBL_USUARIOS[[#This Row],[ID_MASSA]],tbl_de_massas[id_massa],tbl_de_massas[cartao_virtual_numero],"--",0,1)</f>
        <v/>
      </c>
      <c r="H254">
        <f>_xlfn.XLOOKUP(TBL_USUARIOS[[#This Row],[ID_MASSA]],tbl_de_massas[id_massa],tbl_de_massas[cartao_virtual_cvv],"--",0,1)</f>
        <v>0</v>
      </c>
    </row>
    <row r="255" spans="1:8" x14ac:dyDescent="0.25">
      <c r="A255" s="2" t="s">
        <v>2541</v>
      </c>
      <c r="B255" s="14" t="str">
        <f>_xlfn.XLOOKUP(TBL_USUARIOS[[#This Row],[ID_MASSA]],tbl_de_massas[id_massa],tbl_de_massas[cpf],"--",0,1)</f>
        <v>88816631805</v>
      </c>
      <c r="C255" t="s">
        <v>2752</v>
      </c>
      <c r="D255" t="str">
        <f>_xlfn.XLOOKUP(TBL_USUARIOS[[#This Row],[ID_MASSA]],tbl_de_massas[id_massa],tbl_de_massas[nome_completo],"--",0,1)</f>
        <v>Salvador Batista</v>
      </c>
      <c r="E255" t="str">
        <f>_xlfn.XLOOKUP(TBL_USUARIOS[[#This Row],[ID_MASSA]],tbl_de_massas[id_massa],tbl_de_massas[cartao_fisico_numero],"--",0,1)</f>
        <v>4203 1060 1720 4159</v>
      </c>
      <c r="F255" t="str">
        <f>_xlfn.XLOOKUP(TBL_USUARIOS[[#This Row],[ID_MASSA]],tbl_de_massas[id_massa],tbl_de_massas[cartao_fisico_cvv],"--",0,1)</f>
        <v>805</v>
      </c>
      <c r="G255" t="str">
        <f>_xlfn.XLOOKUP(TBL_USUARIOS[[#This Row],[ID_MASSA]],tbl_de_massas[id_massa],tbl_de_massas[cartao_virtual_numero],"--",0,1)</f>
        <v>6505 0666 7940 5736</v>
      </c>
      <c r="H255" t="str">
        <f>_xlfn.XLOOKUP(TBL_USUARIOS[[#This Row],[ID_MASSA]],tbl_de_massas[id_massa],tbl_de_massas[cartao_virtual_cvv],"--",0,1)</f>
        <v>687</v>
      </c>
    </row>
    <row r="256" spans="1:8" x14ac:dyDescent="0.25">
      <c r="A256" s="2" t="s">
        <v>2542</v>
      </c>
      <c r="B256" s="14" t="str">
        <f>_xlfn.XLOOKUP(TBL_USUARIOS[[#This Row],[ID_MASSA]],tbl_de_massas[id_massa],tbl_de_massas[cpf],"--",0,1)</f>
        <v>04828847626</v>
      </c>
      <c r="C256" t="s">
        <v>2753</v>
      </c>
      <c r="D256" t="str">
        <f>_xlfn.XLOOKUP(TBL_USUARIOS[[#This Row],[ID_MASSA]],tbl_de_massas[id_massa],tbl_de_massas[nome_completo],"--",0,1)</f>
        <v>Nubia Santos</v>
      </c>
      <c r="E256" t="str">
        <f>_xlfn.XLOOKUP(TBL_USUARIOS[[#This Row],[ID_MASSA]],tbl_de_massas[id_massa],tbl_de_massas[cartao_fisico_numero],"--",0,1)</f>
        <v>3787 800063 66588</v>
      </c>
      <c r="F256" t="str">
        <f>_xlfn.XLOOKUP(TBL_USUARIOS[[#This Row],[ID_MASSA]],tbl_de_massas[id_massa],tbl_de_massas[cartao_fisico_cvv],"--",0,1)</f>
        <v>626</v>
      </c>
      <c r="G256" t="str">
        <f>_xlfn.XLOOKUP(TBL_USUARIOS[[#This Row],[ID_MASSA]],tbl_de_massas[id_massa],tbl_de_massas[cartao_virtual_numero],"--",0,1)</f>
        <v/>
      </c>
      <c r="H256">
        <f>_xlfn.XLOOKUP(TBL_USUARIOS[[#This Row],[ID_MASSA]],tbl_de_massas[id_massa],tbl_de_massas[cartao_virtual_cvv],"--",0,1)</f>
        <v>0</v>
      </c>
    </row>
    <row r="257" spans="1:8" x14ac:dyDescent="0.25">
      <c r="A257" s="2" t="s">
        <v>2543</v>
      </c>
      <c r="B257" s="14" t="str">
        <f>_xlfn.XLOOKUP(TBL_USUARIOS[[#This Row],[ID_MASSA]],tbl_de_massas[id_massa],tbl_de_massas[cpf],"--",0,1)</f>
        <v>41998978958</v>
      </c>
      <c r="C257" t="s">
        <v>2754</v>
      </c>
      <c r="D257" t="str">
        <f>_xlfn.XLOOKUP(TBL_USUARIOS[[#This Row],[ID_MASSA]],tbl_de_massas[id_massa],tbl_de_massas[nome_completo],"--",0,1)</f>
        <v>Alicia Batista</v>
      </c>
      <c r="E257" t="str">
        <f>_xlfn.XLOOKUP(TBL_USUARIOS[[#This Row],[ID_MASSA]],tbl_de_massas[id_massa],tbl_de_massas[cartao_fisico_numero],"--",0,1)</f>
        <v>6375 6800 6807 3116</v>
      </c>
      <c r="F257" t="str">
        <f>_xlfn.XLOOKUP(TBL_USUARIOS[[#This Row],[ID_MASSA]],tbl_de_massas[id_massa],tbl_de_massas[cartao_fisico_cvv],"--",0,1)</f>
        <v>958</v>
      </c>
      <c r="G257" t="str">
        <f>_xlfn.XLOOKUP(TBL_USUARIOS[[#This Row],[ID_MASSA]],tbl_de_massas[id_massa],tbl_de_massas[cartao_virtual_numero],"--",0,1)</f>
        <v/>
      </c>
      <c r="H257">
        <f>_xlfn.XLOOKUP(TBL_USUARIOS[[#This Row],[ID_MASSA]],tbl_de_massas[id_massa],tbl_de_massas[cartao_virtual_cvv],"--",0,1)</f>
        <v>0</v>
      </c>
    </row>
    <row r="258" spans="1:8" x14ac:dyDescent="0.25">
      <c r="A258" s="2" t="s">
        <v>2544</v>
      </c>
      <c r="B258" s="14" t="str">
        <f>_xlfn.XLOOKUP(TBL_USUARIOS[[#This Row],[ID_MASSA]],tbl_de_massas[id_massa],tbl_de_massas[cpf],"--",0,1)</f>
        <v>26231878783</v>
      </c>
      <c r="C258" t="s">
        <v>2755</v>
      </c>
      <c r="D258" t="str">
        <f>_xlfn.XLOOKUP(TBL_USUARIOS[[#This Row],[ID_MASSA]],tbl_de_massas[id_massa],tbl_de_massas[nome_completo],"--",0,1)</f>
        <v>Rafael Saraiva</v>
      </c>
      <c r="E258" t="str">
        <f>_xlfn.XLOOKUP(TBL_USUARIOS[[#This Row],[ID_MASSA]],tbl_de_massas[id_massa],tbl_de_massas[cartao_fisico_numero],"--",0,1)</f>
        <v>6505 0666 4090 4551</v>
      </c>
      <c r="F258" t="str">
        <f>_xlfn.XLOOKUP(TBL_USUARIOS[[#This Row],[ID_MASSA]],tbl_de_massas[id_massa],tbl_de_massas[cartao_fisico_cvv],"--",0,1)</f>
        <v>783</v>
      </c>
      <c r="G258" t="str">
        <f>_xlfn.XLOOKUP(TBL_USUARIOS[[#This Row],[ID_MASSA]],tbl_de_massas[id_massa],tbl_de_massas[cartao_virtual_numero],"--",0,1)</f>
        <v/>
      </c>
      <c r="H258">
        <f>_xlfn.XLOOKUP(TBL_USUARIOS[[#This Row],[ID_MASSA]],tbl_de_massas[id_massa],tbl_de_massas[cartao_virtual_cvv],"--",0,1)</f>
        <v>0</v>
      </c>
    </row>
    <row r="259" spans="1:8" x14ac:dyDescent="0.25">
      <c r="A259" s="2" t="s">
        <v>2545</v>
      </c>
      <c r="B259" s="14" t="str">
        <f>_xlfn.XLOOKUP(TBL_USUARIOS[[#This Row],[ID_MASSA]],tbl_de_massas[id_massa],tbl_de_massas[cpf],"--",0,1)</f>
        <v>74459209438</v>
      </c>
      <c r="C259" t="s">
        <v>2756</v>
      </c>
      <c r="D259" t="str">
        <f>_xlfn.XLOOKUP(TBL_USUARIOS[[#This Row],[ID_MASSA]],tbl_de_massas[id_massa],tbl_de_massas[nome_completo],"--",0,1)</f>
        <v>Isadora Moraes</v>
      </c>
      <c r="E259" t="str">
        <f>_xlfn.XLOOKUP(TBL_USUARIOS[[#This Row],[ID_MASSA]],tbl_de_massas[id_massa],tbl_de_massas[cartao_fisico_numero],"--",0,1)</f>
        <v>6370 9500 4517 7859</v>
      </c>
      <c r="F259" t="str">
        <f>_xlfn.XLOOKUP(TBL_USUARIOS[[#This Row],[ID_MASSA]],tbl_de_massas[id_massa],tbl_de_massas[cartao_fisico_cvv],"--",0,1)</f>
        <v>438</v>
      </c>
      <c r="G259" t="str">
        <f>_xlfn.XLOOKUP(TBL_USUARIOS[[#This Row],[ID_MASSA]],tbl_de_massas[id_massa],tbl_de_massas[cartao_virtual_numero],"--",0,1)</f>
        <v/>
      </c>
      <c r="H259">
        <f>_xlfn.XLOOKUP(TBL_USUARIOS[[#This Row],[ID_MASSA]],tbl_de_massas[id_massa],tbl_de_massas[cartao_virtual_cvv],"--",0,1)</f>
        <v>0</v>
      </c>
    </row>
    <row r="260" spans="1:8" x14ac:dyDescent="0.25">
      <c r="A260" s="2" t="s">
        <v>2546</v>
      </c>
      <c r="B260" s="14" t="str">
        <f>_xlfn.XLOOKUP(TBL_USUARIOS[[#This Row],[ID_MASSA]],tbl_de_massas[id_massa],tbl_de_massas[cpf],"--",0,1)</f>
        <v>84291097735</v>
      </c>
      <c r="C260" t="s">
        <v>2757</v>
      </c>
      <c r="D260" t="str">
        <f>_xlfn.XLOOKUP(TBL_USUARIOS[[#This Row],[ID_MASSA]],tbl_de_massas[id_massa],tbl_de_massas[nome_completo],"--",0,1)</f>
        <v>Marcela Franco</v>
      </c>
      <c r="E260" t="str">
        <f>_xlfn.XLOOKUP(TBL_USUARIOS[[#This Row],[ID_MASSA]],tbl_de_massas[id_massa],tbl_de_massas[cartao_fisico_numero],"--",0,1)</f>
        <v>3714 800007 66662</v>
      </c>
      <c r="F260" t="str">
        <f>_xlfn.XLOOKUP(TBL_USUARIOS[[#This Row],[ID_MASSA]],tbl_de_massas[id_massa],tbl_de_massas[cartao_fisico_cvv],"--",0,1)</f>
        <v>735</v>
      </c>
      <c r="G260" t="str">
        <f>_xlfn.XLOOKUP(TBL_USUARIOS[[#This Row],[ID_MASSA]],tbl_de_massas[id_massa],tbl_de_massas[cartao_virtual_numero],"--",0,1)</f>
        <v/>
      </c>
      <c r="H260">
        <f>_xlfn.XLOOKUP(TBL_USUARIOS[[#This Row],[ID_MASSA]],tbl_de_massas[id_massa],tbl_de_massas[cartao_virtual_cvv],"--",0,1)</f>
        <v>0</v>
      </c>
    </row>
    <row r="261" spans="1:8" x14ac:dyDescent="0.25">
      <c r="A261" s="2" t="s">
        <v>2549</v>
      </c>
      <c r="B261" s="14" t="str">
        <f>_xlfn.XLOOKUP(TBL_USUARIOS[[#This Row],[ID_MASSA]],tbl_de_massas[id_massa],tbl_de_massas[cpf],"--",0,1)</f>
        <v>08774055496</v>
      </c>
      <c r="C261" t="s">
        <v>2758</v>
      </c>
      <c r="D261" t="str">
        <f>_xlfn.XLOOKUP(TBL_USUARIOS[[#This Row],[ID_MASSA]],tbl_de_massas[id_massa],tbl_de_massas[nome_completo],"--",0,1)</f>
        <v>Elisa Silva</v>
      </c>
      <c r="E261" t="str">
        <f>_xlfn.XLOOKUP(TBL_USUARIOS[[#This Row],[ID_MASSA]],tbl_de_massas[id_massa],tbl_de_massas[cartao_fisico_numero],"--",0,1)</f>
        <v>5185 4460 6097 8021</v>
      </c>
      <c r="F261" t="str">
        <f>_xlfn.XLOOKUP(TBL_USUARIOS[[#This Row],[ID_MASSA]],tbl_de_massas[id_massa],tbl_de_massas[cartao_fisico_cvv],"--",0,1)</f>
        <v>496</v>
      </c>
      <c r="G261" t="str">
        <f>_xlfn.XLOOKUP(TBL_USUARIOS[[#This Row],[ID_MASSA]],tbl_de_massas[id_massa],tbl_de_massas[cartao_virtual_numero],"--",0,1)</f>
        <v/>
      </c>
      <c r="H261">
        <f>_xlfn.XLOOKUP(TBL_USUARIOS[[#This Row],[ID_MASSA]],tbl_de_massas[id_massa],tbl_de_massas[cartao_virtual_cvv],"--",0,1)</f>
        <v>0</v>
      </c>
    </row>
    <row r="262" spans="1:8" x14ac:dyDescent="0.25">
      <c r="A262" s="2" t="s">
        <v>2552</v>
      </c>
      <c r="B262" s="14" t="str">
        <f>_xlfn.XLOOKUP(TBL_USUARIOS[[#This Row],[ID_MASSA]],tbl_de_massas[id_massa],tbl_de_massas[cpf],"--",0,1)</f>
        <v>77962452706</v>
      </c>
      <c r="C262" t="s">
        <v>2759</v>
      </c>
      <c r="D262" t="str">
        <f>_xlfn.XLOOKUP(TBL_USUARIOS[[#This Row],[ID_MASSA]],tbl_de_massas[id_massa],tbl_de_massas[nome_completo],"--",0,1)</f>
        <v>Livia Reis</v>
      </c>
      <c r="E262" t="str">
        <f>_xlfn.XLOOKUP(TBL_USUARIOS[[#This Row],[ID_MASSA]],tbl_de_massas[id_massa],tbl_de_massas[cartao_fisico_numero],"--",0,1)</f>
        <v/>
      </c>
      <c r="F262">
        <f>_xlfn.XLOOKUP(TBL_USUARIOS[[#This Row],[ID_MASSA]],tbl_de_massas[id_massa],tbl_de_massas[cartao_fisico_cvv],"--",0,1)</f>
        <v>0</v>
      </c>
      <c r="G262" t="str">
        <f>_xlfn.XLOOKUP(TBL_USUARIOS[[#This Row],[ID_MASSA]],tbl_de_massas[id_massa],tbl_de_massas[cartao_virtual_numero],"--",0,1)</f>
        <v/>
      </c>
      <c r="H262">
        <f>_xlfn.XLOOKUP(TBL_USUARIOS[[#This Row],[ID_MASSA]],tbl_de_massas[id_massa],tbl_de_massas[cartao_virtual_cvv],"--",0,1)</f>
        <v>0</v>
      </c>
    </row>
    <row r="263" spans="1:8" x14ac:dyDescent="0.25">
      <c r="A263" s="2" t="s">
        <v>2553</v>
      </c>
      <c r="B263" s="14" t="str">
        <f>_xlfn.XLOOKUP(TBL_USUARIOS[[#This Row],[ID_MASSA]],tbl_de_massas[id_massa],tbl_de_massas[cpf],"--",0,1)</f>
        <v>87753560905</v>
      </c>
      <c r="C263" t="s">
        <v>2760</v>
      </c>
      <c r="D263" t="str">
        <f>_xlfn.XLOOKUP(TBL_USUARIOS[[#This Row],[ID_MASSA]],tbl_de_massas[id_massa],tbl_de_massas[nome_completo],"--",0,1)</f>
        <v>Maite Melo</v>
      </c>
      <c r="E263" t="str">
        <f>_xlfn.XLOOKUP(TBL_USUARIOS[[#This Row],[ID_MASSA]],tbl_de_massas[id_massa],tbl_de_massas[cartao_fisico_numero],"--",0,1)</f>
        <v/>
      </c>
      <c r="F263">
        <f>_xlfn.XLOOKUP(TBL_USUARIOS[[#This Row],[ID_MASSA]],tbl_de_massas[id_massa],tbl_de_massas[cartao_fisico_cvv],"--",0,1)</f>
        <v>0</v>
      </c>
      <c r="G263" t="str">
        <f>_xlfn.XLOOKUP(TBL_USUARIOS[[#This Row],[ID_MASSA]],tbl_de_massas[id_massa],tbl_de_massas[cartao_virtual_numero],"--",0,1)</f>
        <v/>
      </c>
      <c r="H263">
        <f>_xlfn.XLOOKUP(TBL_USUARIOS[[#This Row],[ID_MASSA]],tbl_de_massas[id_massa],tbl_de_massas[cartao_virtual_cvv],"--",0,1)</f>
        <v>0</v>
      </c>
    </row>
    <row r="264" spans="1:8" x14ac:dyDescent="0.25">
      <c r="A264" s="2" t="s">
        <v>2554</v>
      </c>
      <c r="B264" s="14" t="str">
        <f>_xlfn.XLOOKUP(TBL_USUARIOS[[#This Row],[ID_MASSA]],tbl_de_massas[id_massa],tbl_de_massas[cpf],"--",0,1)</f>
        <v>70080586597</v>
      </c>
      <c r="C264" t="s">
        <v>2761</v>
      </c>
      <c r="D264" t="str">
        <f>_xlfn.XLOOKUP(TBL_USUARIOS[[#This Row],[ID_MASSA]],tbl_de_massas[id_massa],tbl_de_massas[nome_completo],"--",0,1)</f>
        <v>Teste Verificacao Pin</v>
      </c>
      <c r="E264" t="str">
        <f>_xlfn.XLOOKUP(TBL_USUARIOS[[#This Row],[ID_MASSA]],tbl_de_massas[id_massa],tbl_de_massas[cartao_fisico_numero],"--",0,1)</f>
        <v>5442 7460 9819 2000</v>
      </c>
      <c r="F264" t="str">
        <f>_xlfn.XLOOKUP(TBL_USUARIOS[[#This Row],[ID_MASSA]],tbl_de_massas[id_massa],tbl_de_massas[cartao_fisico_cvv],"--",0,1)</f>
        <v>333</v>
      </c>
      <c r="G264" t="str">
        <f>_xlfn.XLOOKUP(TBL_USUARIOS[[#This Row],[ID_MASSA]],tbl_de_massas[id_massa],tbl_de_massas[cartao_virtual_numero],"--",0,1)</f>
        <v/>
      </c>
      <c r="H264">
        <f>_xlfn.XLOOKUP(TBL_USUARIOS[[#This Row],[ID_MASSA]],tbl_de_massas[id_massa],tbl_de_massas[cartao_virtual_cvv],"--",0,1)</f>
        <v>0</v>
      </c>
    </row>
    <row r="265" spans="1:8" x14ac:dyDescent="0.25">
      <c r="A265" s="2" t="s">
        <v>2559</v>
      </c>
      <c r="B265" s="14" t="str">
        <f>_xlfn.XLOOKUP(TBL_USUARIOS[[#This Row],[ID_MASSA]],tbl_de_massas[id_massa],tbl_de_massas[cpf],"--",0,1)</f>
        <v>77671688088</v>
      </c>
      <c r="C265" t="s">
        <v>2762</v>
      </c>
      <c r="D265" t="str">
        <f>_xlfn.XLOOKUP(TBL_USUARIOS[[#This Row],[ID_MASSA]],tbl_de_massas[id_massa],tbl_de_massas[nome_completo],"--",0,1)</f>
        <v>Emily Rose Johnson</v>
      </c>
      <c r="E265" t="str">
        <f>_xlfn.XLOOKUP(TBL_USUARIOS[[#This Row],[ID_MASSA]],tbl_de_massas[id_massa],tbl_de_massas[cartao_fisico_numero],"--",0,1)</f>
        <v>3782 792990 4076</v>
      </c>
      <c r="F265" t="str">
        <f>_xlfn.XLOOKUP(TBL_USUARIOS[[#This Row],[ID_MASSA]],tbl_de_massas[id_massa],tbl_de_massas[cartao_fisico_cvv],"--",0,1)</f>
        <v>8821</v>
      </c>
      <c r="G265" t="str">
        <f>_xlfn.XLOOKUP(TBL_USUARIOS[[#This Row],[ID_MASSA]],tbl_de_massas[id_massa],tbl_de_massas[cartao_virtual_numero],"--",0,1)</f>
        <v/>
      </c>
      <c r="H265">
        <f>_xlfn.XLOOKUP(TBL_USUARIOS[[#This Row],[ID_MASSA]],tbl_de_massas[id_massa],tbl_de_massas[cartao_virtual_cvv],"--",0,1)</f>
        <v>0</v>
      </c>
    </row>
    <row r="266" spans="1:8" x14ac:dyDescent="0.25">
      <c r="A266" s="2" t="s">
        <v>2562</v>
      </c>
      <c r="B266" s="14" t="str">
        <f>_xlfn.XLOOKUP(TBL_USUARIOS[[#This Row],[ID_MASSA]],tbl_de_massas[id_massa],tbl_de_massas[cpf],"--",0,1)</f>
        <v>47730117347</v>
      </c>
      <c r="C266" t="s">
        <v>2763</v>
      </c>
      <c r="D266" t="str">
        <f>_xlfn.XLOOKUP(TBL_USUARIOS[[#This Row],[ID_MASSA]],tbl_de_massas[id_massa],tbl_de_massas[nome_completo],"--",0,1)</f>
        <v>Sophia Grace Brown</v>
      </c>
      <c r="E266" t="str">
        <f>_xlfn.XLOOKUP(TBL_USUARIOS[[#This Row],[ID_MASSA]],tbl_de_massas[id_massa],tbl_de_massas[cartao_fisico_numero],"--",0,1)</f>
        <v>4576 7460 4476 4438</v>
      </c>
      <c r="F266" t="str">
        <f>_xlfn.XLOOKUP(TBL_USUARIOS[[#This Row],[ID_MASSA]],tbl_de_massas[id_massa],tbl_de_massas[cartao_fisico_cvv],"--",0,1)</f>
        <v>333</v>
      </c>
      <c r="G266" t="str">
        <f>_xlfn.XLOOKUP(TBL_USUARIOS[[#This Row],[ID_MASSA]],tbl_de_massas[id_massa],tbl_de_massas[cartao_virtual_numero],"--",0,1)</f>
        <v/>
      </c>
      <c r="H266">
        <f>_xlfn.XLOOKUP(TBL_USUARIOS[[#This Row],[ID_MASSA]],tbl_de_massas[id_massa],tbl_de_massas[cartao_virtual_cvv],"--",0,1)</f>
        <v>0</v>
      </c>
    </row>
    <row r="267" spans="1:8" x14ac:dyDescent="0.25">
      <c r="A267" s="2" t="s">
        <v>2565</v>
      </c>
      <c r="B267" s="14" t="str">
        <f>_xlfn.XLOOKUP(TBL_USUARIOS[[#This Row],[ID_MASSA]],tbl_de_massas[id_massa],tbl_de_massas[cpf],"--",0,1)</f>
        <v>24415291457</v>
      </c>
      <c r="C267" t="s">
        <v>2764</v>
      </c>
      <c r="D267" t="str">
        <f>_xlfn.XLOOKUP(TBL_USUARIOS[[#This Row],[ID_MASSA]],tbl_de_massas[id_massa],tbl_de_massas[nome_completo],"--",0,1)</f>
        <v>Taro Tanaka</v>
      </c>
      <c r="E267" t="str">
        <f>_xlfn.XLOOKUP(TBL_USUARIOS[[#This Row],[ID_MASSA]],tbl_de_massas[id_massa],tbl_de_massas[cartao_fisico_numero],"--",0,1)</f>
        <v>4576 7460 9054 3446</v>
      </c>
      <c r="F267" t="str">
        <f>_xlfn.XLOOKUP(TBL_USUARIOS[[#This Row],[ID_MASSA]],tbl_de_massas[id_massa],tbl_de_massas[cartao_fisico_cvv],"--",0,1)</f>
        <v>333</v>
      </c>
      <c r="G267" t="str">
        <f>_xlfn.XLOOKUP(TBL_USUARIOS[[#This Row],[ID_MASSA]],tbl_de_massas[id_massa],tbl_de_massas[cartao_virtual_numero],"--",0,1)</f>
        <v/>
      </c>
      <c r="H267">
        <f>_xlfn.XLOOKUP(TBL_USUARIOS[[#This Row],[ID_MASSA]],tbl_de_massas[id_massa],tbl_de_massas[cartao_virtual_cvv],"--",0,1)</f>
        <v>0</v>
      </c>
    </row>
    <row r="268" spans="1:8" x14ac:dyDescent="0.25">
      <c r="A268" s="2" t="s">
        <v>2568</v>
      </c>
      <c r="B268" s="14" t="str">
        <f>_xlfn.XLOOKUP(TBL_USUARIOS[[#This Row],[ID_MASSA]],tbl_de_massas[id_massa],tbl_de_massas[cpf],"--",0,1)</f>
        <v>77911486336</v>
      </c>
      <c r="C268" t="s">
        <v>2765</v>
      </c>
      <c r="D268" t="str">
        <f>_xlfn.XLOOKUP(TBL_USUARIOS[[#This Row],[ID_MASSA]],tbl_de_massas[id_massa],tbl_de_massas[nome_completo],"--",0,1)</f>
        <v>Lucas Laurent</v>
      </c>
      <c r="E268" t="str">
        <f>_xlfn.XLOOKUP(TBL_USUARIOS[[#This Row],[ID_MASSA]],tbl_de_massas[id_massa],tbl_de_massas[cartao_fisico_numero],"--",0,1)</f>
        <v>3782 136636 9049</v>
      </c>
      <c r="F268" t="str">
        <f>_xlfn.XLOOKUP(TBL_USUARIOS[[#This Row],[ID_MASSA]],tbl_de_massas[id_massa],tbl_de_massas[cartao_fisico_cvv],"--",0,1)</f>
        <v>8821</v>
      </c>
      <c r="G268" t="str">
        <f>_xlfn.XLOOKUP(TBL_USUARIOS[[#This Row],[ID_MASSA]],tbl_de_massas[id_massa],tbl_de_massas[cartao_virtual_numero],"--",0,1)</f>
        <v/>
      </c>
      <c r="H268">
        <f>_xlfn.XLOOKUP(TBL_USUARIOS[[#This Row],[ID_MASSA]],tbl_de_massas[id_massa],tbl_de_massas[cartao_virtual_cvv],"--",0,1)</f>
        <v>0</v>
      </c>
    </row>
    <row r="269" spans="1:8" x14ac:dyDescent="0.25">
      <c r="A269" s="2" t="s">
        <v>2571</v>
      </c>
      <c r="B269" s="14" t="str">
        <f>_xlfn.XLOOKUP(TBL_USUARIOS[[#This Row],[ID_MASSA]],tbl_de_massas[id_massa],tbl_de_massas[cpf],"--",0,1)</f>
        <v>59912891155</v>
      </c>
      <c r="C269" t="s">
        <v>2766</v>
      </c>
      <c r="D269" t="str">
        <f>_xlfn.XLOOKUP(TBL_USUARIOS[[#This Row],[ID_MASSA]],tbl_de_massas[id_massa],tbl_de_massas[nome_completo],"--",0,1)</f>
        <v>Santiago Gomez</v>
      </c>
      <c r="E269" t="str">
        <f>_xlfn.XLOOKUP(TBL_USUARIOS[[#This Row],[ID_MASSA]],tbl_de_massas[id_massa],tbl_de_massas[cartao_fisico_numero],"--",0,1)</f>
        <v>6062 8200 6653 5701</v>
      </c>
      <c r="F269" t="str">
        <f>_xlfn.XLOOKUP(TBL_USUARIOS[[#This Row],[ID_MASSA]],tbl_de_massas[id_massa],tbl_de_massas[cartao_fisico_cvv],"--",0,1)</f>
        <v>333</v>
      </c>
      <c r="G269" t="str">
        <f>_xlfn.XLOOKUP(TBL_USUARIOS[[#This Row],[ID_MASSA]],tbl_de_massas[id_massa],tbl_de_massas[cartao_virtual_numero],"--",0,1)</f>
        <v/>
      </c>
      <c r="H269">
        <f>_xlfn.XLOOKUP(TBL_USUARIOS[[#This Row],[ID_MASSA]],tbl_de_massas[id_massa],tbl_de_massas[cartao_virtual_cvv],"--",0,1)</f>
        <v>0</v>
      </c>
    </row>
    <row r="270" spans="1:8" x14ac:dyDescent="0.25">
      <c r="A270" s="2" t="s">
        <v>2574</v>
      </c>
      <c r="B270" s="14" t="str">
        <f>_xlfn.XLOOKUP(TBL_USUARIOS[[#This Row],[ID_MASSA]],tbl_de_massas[id_massa],tbl_de_massas[cpf],"--",0,1)</f>
        <v>52627600907</v>
      </c>
      <c r="C270" t="s">
        <v>2767</v>
      </c>
      <c r="D270" t="str">
        <f>_xlfn.XLOOKUP(TBL_USUARIOS[[#This Row],[ID_MASSA]],tbl_de_massas[id_massa],tbl_de_massas[nome_completo],"--",0,1)</f>
        <v>Isabela Rocha Carvalho</v>
      </c>
      <c r="E270" t="str">
        <f>_xlfn.XLOOKUP(TBL_USUARIOS[[#This Row],[ID_MASSA]],tbl_de_massas[id_massa],tbl_de_massas[cartao_fisico_numero],"--",0,1)</f>
        <v>6505 0666 3778 9421</v>
      </c>
      <c r="F270" t="str">
        <f>_xlfn.XLOOKUP(TBL_USUARIOS[[#This Row],[ID_MASSA]],tbl_de_massas[id_massa],tbl_de_massas[cartao_fisico_cvv],"--",0,1)</f>
        <v>333</v>
      </c>
      <c r="G270" t="str">
        <f>_xlfn.XLOOKUP(TBL_USUARIOS[[#This Row],[ID_MASSA]],tbl_de_massas[id_massa],tbl_de_massas[cartao_virtual_numero],"--",0,1)</f>
        <v/>
      </c>
      <c r="H270">
        <f>_xlfn.XLOOKUP(TBL_USUARIOS[[#This Row],[ID_MASSA]],tbl_de_massas[id_massa],tbl_de_massas[cartao_virtual_cvv],"--",0,1)</f>
        <v>0</v>
      </c>
    </row>
    <row r="271" spans="1:8" x14ac:dyDescent="0.25">
      <c r="A271" s="2" t="s">
        <v>2577</v>
      </c>
      <c r="B271" s="14" t="str">
        <f>_xlfn.XLOOKUP(TBL_USUARIOS[[#This Row],[ID_MASSA]],tbl_de_massas[id_massa],tbl_de_massas[cpf],"--",0,1)</f>
        <v>51484422635</v>
      </c>
      <c r="C271" t="s">
        <v>2768</v>
      </c>
      <c r="D271" t="str">
        <f>_xlfn.XLOOKUP(TBL_USUARIOS[[#This Row],[ID_MASSA]],tbl_de_massas[id_massa],tbl_de_massas[nome_completo],"--",0,1)</f>
        <v>Joon Jeong</v>
      </c>
      <c r="E271" t="str">
        <f>_xlfn.XLOOKUP(TBL_USUARIOS[[#This Row],[ID_MASSA]],tbl_de_massas[id_massa],tbl_de_massas[cartao_fisico_numero],"--",0,1)</f>
        <v>6505 0666 2920 0649</v>
      </c>
      <c r="F271" t="str">
        <f>_xlfn.XLOOKUP(TBL_USUARIOS[[#This Row],[ID_MASSA]],tbl_de_massas[id_massa],tbl_de_massas[cartao_fisico_cvv],"--",0,1)</f>
        <v>333</v>
      </c>
      <c r="G271" t="str">
        <f>_xlfn.XLOOKUP(TBL_USUARIOS[[#This Row],[ID_MASSA]],tbl_de_massas[id_massa],tbl_de_massas[cartao_virtual_numero],"--",0,1)</f>
        <v/>
      </c>
      <c r="H271">
        <f>_xlfn.XLOOKUP(TBL_USUARIOS[[#This Row],[ID_MASSA]],tbl_de_massas[id_massa],tbl_de_massas[cartao_virtual_cvv],"--",0,1)</f>
        <v>0</v>
      </c>
    </row>
    <row r="272" spans="1:8" x14ac:dyDescent="0.25">
      <c r="A272" s="2" t="s">
        <v>2580</v>
      </c>
      <c r="B272" s="14" t="str">
        <f>_xlfn.XLOOKUP(TBL_USUARIOS[[#This Row],[ID_MASSA]],tbl_de_massas[id_massa],tbl_de_massas[cpf],"--",0,1)</f>
        <v>32653492091</v>
      </c>
      <c r="C272" t="s">
        <v>2769</v>
      </c>
      <c r="D272" t="str">
        <f>_xlfn.XLOOKUP(TBL_USUARIOS[[#This Row],[ID_MASSA]],tbl_de_massas[id_massa],tbl_de_massas[nome_completo],"--",0,1)</f>
        <v>Xiu Ying Wang</v>
      </c>
      <c r="E272" t="str">
        <f>_xlfn.XLOOKUP(TBL_USUARIOS[[#This Row],[ID_MASSA]],tbl_de_massas[id_massa],tbl_de_massas[cartao_fisico_numero],"--",0,1)</f>
        <v>6062 8200 4058 1358</v>
      </c>
      <c r="F272" t="str">
        <f>_xlfn.XLOOKUP(TBL_USUARIOS[[#This Row],[ID_MASSA]],tbl_de_massas[id_massa],tbl_de_massas[cartao_fisico_cvv],"--",0,1)</f>
        <v>333</v>
      </c>
      <c r="G272" t="str">
        <f>_xlfn.XLOOKUP(TBL_USUARIOS[[#This Row],[ID_MASSA]],tbl_de_massas[id_massa],tbl_de_massas[cartao_virtual_numero],"--",0,1)</f>
        <v/>
      </c>
      <c r="H272">
        <f>_xlfn.XLOOKUP(TBL_USUARIOS[[#This Row],[ID_MASSA]],tbl_de_massas[id_massa],tbl_de_massas[cartao_virtual_cvv],"--",0,1)</f>
        <v>0</v>
      </c>
    </row>
    <row r="273" spans="1:8" x14ac:dyDescent="0.25">
      <c r="A273" s="2" t="s">
        <v>2583</v>
      </c>
      <c r="B273" s="14" t="str">
        <f>_xlfn.XLOOKUP(TBL_USUARIOS[[#This Row],[ID_MASSA]],tbl_de_massas[id_massa],tbl_de_massas[cpf],"--",0,1)</f>
        <v>09044605330</v>
      </c>
      <c r="C273" t="s">
        <v>2770</v>
      </c>
      <c r="D273" t="str">
        <f>_xlfn.XLOOKUP(TBL_USUARIOS[[#This Row],[ID_MASSA]],tbl_de_massas[id_massa],tbl_de_massas[nome_completo],"--",0,1)</f>
        <v>Pierre Bernard</v>
      </c>
      <c r="E273" t="str">
        <f>_xlfn.XLOOKUP(TBL_USUARIOS[[#This Row],[ID_MASSA]],tbl_de_massas[id_massa],tbl_de_massas[cartao_fisico_numero],"--",0,1)</f>
        <v>6505 0666 6856 2270</v>
      </c>
      <c r="F273" t="str">
        <f>_xlfn.XLOOKUP(TBL_USUARIOS[[#This Row],[ID_MASSA]],tbl_de_massas[id_massa],tbl_de_massas[cartao_fisico_cvv],"--",0,1)</f>
        <v>333</v>
      </c>
      <c r="G273" t="str">
        <f>_xlfn.XLOOKUP(TBL_USUARIOS[[#This Row],[ID_MASSA]],tbl_de_massas[id_massa],tbl_de_massas[cartao_virtual_numero],"--",0,1)</f>
        <v/>
      </c>
      <c r="H273">
        <f>_xlfn.XLOOKUP(TBL_USUARIOS[[#This Row],[ID_MASSA]],tbl_de_massas[id_massa],tbl_de_massas[cartao_virtual_cvv],"--",0,1)</f>
        <v>0</v>
      </c>
    </row>
    <row r="274" spans="1:8" x14ac:dyDescent="0.25">
      <c r="A274" s="2" t="s">
        <v>2586</v>
      </c>
      <c r="B274" s="14" t="str">
        <f>_xlfn.XLOOKUP(TBL_USUARIOS[[#This Row],[ID_MASSA]],tbl_de_massas[id_massa],tbl_de_massas[cpf],"--",0,1)</f>
        <v>54688525273</v>
      </c>
      <c r="C274" t="s">
        <v>2771</v>
      </c>
      <c r="D274" t="str">
        <f>_xlfn.XLOOKUP(TBL_USUARIOS[[#This Row],[ID_MASSA]],tbl_de_massas[id_massa],tbl_de_massas[nome_completo],"--",0,1)</f>
        <v>Yuki Takahashi</v>
      </c>
      <c r="E274" t="str">
        <f>_xlfn.XLOOKUP(TBL_USUARIOS[[#This Row],[ID_MASSA]],tbl_de_massas[id_massa],tbl_de_massas[cartao_fisico_numero],"--",0,1)</f>
        <v>5442 7460 9954 1781</v>
      </c>
      <c r="F274" t="str">
        <f>_xlfn.XLOOKUP(TBL_USUARIOS[[#This Row],[ID_MASSA]],tbl_de_massas[id_massa],tbl_de_massas[cartao_fisico_cvv],"--",0,1)</f>
        <v>333</v>
      </c>
      <c r="G274" t="str">
        <f>_xlfn.XLOOKUP(TBL_USUARIOS[[#This Row],[ID_MASSA]],tbl_de_massas[id_massa],tbl_de_massas[cartao_virtual_numero],"--",0,1)</f>
        <v/>
      </c>
      <c r="H274">
        <f>_xlfn.XLOOKUP(TBL_USUARIOS[[#This Row],[ID_MASSA]],tbl_de_massas[id_massa],tbl_de_massas[cartao_virtual_cvv],"--",0,1)</f>
        <v>0</v>
      </c>
    </row>
    <row r="275" spans="1:8" x14ac:dyDescent="0.25">
      <c r="A275" s="2" t="s">
        <v>2589</v>
      </c>
      <c r="B275" s="14" t="str">
        <f>_xlfn.XLOOKUP(TBL_USUARIOS[[#This Row],[ID_MASSA]],tbl_de_massas[id_massa],tbl_de_massas[cpf],"--",0,1)</f>
        <v>49189459024</v>
      </c>
      <c r="C275" t="s">
        <v>2772</v>
      </c>
      <c r="D275" t="str">
        <f>_xlfn.XLOOKUP(TBL_USUARIOS[[#This Row],[ID_MASSA]],tbl_de_massas[id_massa],tbl_de_massas[nome_completo],"--",0,1)</f>
        <v>Sophie Schmidt</v>
      </c>
      <c r="E275" t="str">
        <f>_xlfn.XLOOKUP(TBL_USUARIOS[[#This Row],[ID_MASSA]],tbl_de_massas[id_massa],tbl_de_massas[cartao_fisico_numero],"--",0,1)</f>
        <v/>
      </c>
      <c r="F275">
        <f>_xlfn.XLOOKUP(TBL_USUARIOS[[#This Row],[ID_MASSA]],tbl_de_massas[id_massa],tbl_de_massas[cartao_fisico_cvv],"--",0,1)</f>
        <v>0</v>
      </c>
      <c r="G275" t="str">
        <f>_xlfn.XLOOKUP(TBL_USUARIOS[[#This Row],[ID_MASSA]],tbl_de_massas[id_massa],tbl_de_massas[cartao_virtual_numero],"--",0,1)</f>
        <v>6505 0666 5246 2732</v>
      </c>
      <c r="H275" t="str">
        <f>_xlfn.XLOOKUP(TBL_USUARIOS[[#This Row],[ID_MASSA]],tbl_de_massas[id_massa],tbl_de_massas[cartao_virtual_cvv],"--",0,1)</f>
        <v>333</v>
      </c>
    </row>
    <row r="276" spans="1:8" x14ac:dyDescent="0.25">
      <c r="A276" s="2" t="s">
        <v>2592</v>
      </c>
      <c r="B276" s="14" t="str">
        <f>_xlfn.XLOOKUP(TBL_USUARIOS[[#This Row],[ID_MASSA]],tbl_de_massas[id_massa],tbl_de_massas[cpf],"--",0,1)</f>
        <v>39121865108</v>
      </c>
      <c r="C276" t="s">
        <v>2773</v>
      </c>
      <c r="D276" t="str">
        <f>_xlfn.XLOOKUP(TBL_USUARIOS[[#This Row],[ID_MASSA]],tbl_de_massas[id_massa],tbl_de_massas[nome_completo],"--",0,1)</f>
        <v>Goncalo Santos</v>
      </c>
      <c r="E276" t="str">
        <f>_xlfn.XLOOKUP(TBL_USUARIOS[[#This Row],[ID_MASSA]],tbl_de_massas[id_massa],tbl_de_massas[cartao_fisico_numero],"--",0,1)</f>
        <v>6505 0666 1671 6546</v>
      </c>
      <c r="F276" t="str">
        <f>_xlfn.XLOOKUP(TBL_USUARIOS[[#This Row],[ID_MASSA]],tbl_de_massas[id_massa],tbl_de_massas[cartao_fisico_cvv],"--",0,1)</f>
        <v>333</v>
      </c>
      <c r="G276" t="str">
        <f>_xlfn.XLOOKUP(TBL_USUARIOS[[#This Row],[ID_MASSA]],tbl_de_massas[id_massa],tbl_de_massas[cartao_virtual_numero],"--",0,1)</f>
        <v>6505 0666 3039 9501</v>
      </c>
      <c r="H276" t="str">
        <f>_xlfn.XLOOKUP(TBL_USUARIOS[[#This Row],[ID_MASSA]],tbl_de_massas[id_massa],tbl_de_massas[cartao_virtual_cvv],"--",0,1)</f>
        <v>333</v>
      </c>
    </row>
    <row r="277" spans="1:8" x14ac:dyDescent="0.25">
      <c r="A277" s="2" t="s">
        <v>2596</v>
      </c>
      <c r="B277" s="14" t="str">
        <f>_xlfn.XLOOKUP(TBL_USUARIOS[[#This Row],[ID_MASSA]],tbl_de_massas[id_massa],tbl_de_massas[cpf],"--",0,1)</f>
        <v>77025402907</v>
      </c>
      <c r="C277" t="s">
        <v>2774</v>
      </c>
      <c r="D277" t="str">
        <f>_xlfn.XLOOKUP(TBL_USUARIOS[[#This Row],[ID_MASSA]],tbl_de_massas[id_massa],tbl_de_massas[nome_completo],"--",0,1)</f>
        <v>Alessandro Ferrari</v>
      </c>
      <c r="E277" t="str">
        <f>_xlfn.XLOOKUP(TBL_USUARIOS[[#This Row],[ID_MASSA]],tbl_de_massas[id_massa],tbl_de_massas[cartao_fisico_numero],"--",0,1)</f>
        <v>4576 7460 3620 5020</v>
      </c>
      <c r="F277" t="str">
        <f>_xlfn.XLOOKUP(TBL_USUARIOS[[#This Row],[ID_MASSA]],tbl_de_massas[id_massa],tbl_de_massas[cartao_fisico_cvv],"--",0,1)</f>
        <v>333</v>
      </c>
      <c r="G277" t="str">
        <f>_xlfn.XLOOKUP(TBL_USUARIOS[[#This Row],[ID_MASSA]],tbl_de_massas[id_massa],tbl_de_massas[cartao_virtual_numero],"--",0,1)</f>
        <v>4576 7460 6462 8999</v>
      </c>
      <c r="H277" t="str">
        <f>_xlfn.XLOOKUP(TBL_USUARIOS[[#This Row],[ID_MASSA]],tbl_de_massas[id_massa],tbl_de_massas[cartao_virtual_cvv],"--",0,1)</f>
        <v>333</v>
      </c>
    </row>
    <row r="278" spans="1:8" x14ac:dyDescent="0.25">
      <c r="A278" s="2" t="s">
        <v>2600</v>
      </c>
      <c r="B278" s="14" t="str">
        <f>_xlfn.XLOOKUP(TBL_USUARIOS[[#This Row],[ID_MASSA]],tbl_de_massas[id_massa],tbl_de_massas[cpf],"--",0,1)</f>
        <v>20488598605</v>
      </c>
      <c r="C278" t="s">
        <v>2775</v>
      </c>
      <c r="D278" t="str">
        <f>_xlfn.XLOOKUP(TBL_USUARIOS[[#This Row],[ID_MASSA]],tbl_de_massas[id_massa],tbl_de_massas[nome_completo],"--",0,1)</f>
        <v>Camila Beatriz Santos</v>
      </c>
      <c r="E278" t="str">
        <f>_xlfn.XLOOKUP(TBL_USUARIOS[[#This Row],[ID_MASSA]],tbl_de_massas[id_massa],tbl_de_massas[cartao_fisico_numero],"--",0,1)</f>
        <v>3782 427800 0927</v>
      </c>
      <c r="F278" t="str">
        <f>_xlfn.XLOOKUP(TBL_USUARIOS[[#This Row],[ID_MASSA]],tbl_de_massas[id_massa],tbl_de_massas[cartao_fisico_cvv],"--",0,1)</f>
        <v>8821</v>
      </c>
      <c r="G278" t="str">
        <f>_xlfn.XLOOKUP(TBL_USUARIOS[[#This Row],[ID_MASSA]],tbl_de_massas[id_massa],tbl_de_massas[cartao_virtual_numero],"--",0,1)</f>
        <v>3782 386184 7968</v>
      </c>
      <c r="H278" t="str">
        <f>_xlfn.XLOOKUP(TBL_USUARIOS[[#This Row],[ID_MASSA]],tbl_de_massas[id_massa],tbl_de_massas[cartao_virtual_cvv],"--",0,1)</f>
        <v>8821</v>
      </c>
    </row>
    <row r="279" spans="1:8" x14ac:dyDescent="0.25">
      <c r="A279" s="2" t="s">
        <v>2604</v>
      </c>
      <c r="B279" s="14" t="str">
        <f>_xlfn.XLOOKUP(TBL_USUARIOS[[#This Row],[ID_MASSA]],tbl_de_massas[id_massa],tbl_de_massas[cpf],"--",0,1)</f>
        <v>55966997640</v>
      </c>
      <c r="C279" t="s">
        <v>2776</v>
      </c>
      <c r="D279" t="str">
        <f>_xlfn.XLOOKUP(TBL_USUARIOS[[#This Row],[ID_MASSA]],tbl_de_massas[id_massa],tbl_de_massas[nome_completo],"--",0,1)</f>
        <v>Giulia Russo</v>
      </c>
      <c r="E279" t="str">
        <f>_xlfn.XLOOKUP(TBL_USUARIOS[[#This Row],[ID_MASSA]],tbl_de_massas[id_massa],tbl_de_massas[cartao_fisico_numero],"--",0,1)</f>
        <v>6062 8200 9195 3714</v>
      </c>
      <c r="F279" t="str">
        <f>_xlfn.XLOOKUP(TBL_USUARIOS[[#This Row],[ID_MASSA]],tbl_de_massas[id_massa],tbl_de_massas[cartao_fisico_cvv],"--",0,1)</f>
        <v>333</v>
      </c>
      <c r="G279" t="str">
        <f>_xlfn.XLOOKUP(TBL_USUARIOS[[#This Row],[ID_MASSA]],tbl_de_massas[id_massa],tbl_de_massas[cartao_virtual_numero],"--",0,1)</f>
        <v>6062 8200 7271 6748</v>
      </c>
      <c r="H279" t="str">
        <f>_xlfn.XLOOKUP(TBL_USUARIOS[[#This Row],[ID_MASSA]],tbl_de_massas[id_massa],tbl_de_massas[cartao_virtual_cvv],"--",0,1)</f>
        <v>333</v>
      </c>
    </row>
    <row r="280" spans="1:8" x14ac:dyDescent="0.25">
      <c r="A280" s="2" t="s">
        <v>2608</v>
      </c>
      <c r="B280" s="14" t="str">
        <f>_xlfn.XLOOKUP(TBL_USUARIOS[[#This Row],[ID_MASSA]],tbl_de_massas[id_massa],tbl_de_massas[cpf],"--",0,1)</f>
        <v>94938513897</v>
      </c>
      <c r="C280" t="s">
        <v>2777</v>
      </c>
      <c r="D280" t="str">
        <f>_xlfn.XLOOKUP(TBL_USUARIOS[[#This Row],[ID_MASSA]],tbl_de_massas[id_massa],tbl_de_massas[nome_completo],"--",0,1)</f>
        <v>Aoi Yamamoto</v>
      </c>
      <c r="E280" t="str">
        <f>_xlfn.XLOOKUP(TBL_USUARIOS[[#This Row],[ID_MASSA]],tbl_de_massas[id_massa],tbl_de_massas[cartao_fisico_numero],"--",0,1)</f>
        <v/>
      </c>
      <c r="F280">
        <f>_xlfn.XLOOKUP(TBL_USUARIOS[[#This Row],[ID_MASSA]],tbl_de_massas[id_massa],tbl_de_massas[cartao_fisico_cvv],"--",0,1)</f>
        <v>0</v>
      </c>
      <c r="G280" t="str">
        <f>_xlfn.XLOOKUP(TBL_USUARIOS[[#This Row],[ID_MASSA]],tbl_de_massas[id_massa],tbl_de_massas[cartao_virtual_numero],"--",0,1)</f>
        <v>6505 0666 6854 3070</v>
      </c>
      <c r="H280" t="str">
        <f>_xlfn.XLOOKUP(TBL_USUARIOS[[#This Row],[ID_MASSA]],tbl_de_massas[id_massa],tbl_de_massas[cartao_virtual_cvv],"--",0,1)</f>
        <v>333</v>
      </c>
    </row>
    <row r="281" spans="1:8" x14ac:dyDescent="0.25">
      <c r="A281" s="2" t="s">
        <v>2611</v>
      </c>
      <c r="B281" s="14" t="str">
        <f>_xlfn.XLOOKUP(TBL_USUARIOS[[#This Row],[ID_MASSA]],tbl_de_massas[id_massa],tbl_de_massas[cpf],"--",0,1)</f>
        <v>35198162027</v>
      </c>
      <c r="C281" t="s">
        <v>2778</v>
      </c>
      <c r="D281" t="str">
        <f>_xlfn.XLOOKUP(TBL_USUARIOS[[#This Row],[ID_MASSA]],tbl_de_massas[id_massa],tbl_de_massas[nome_completo],"--",0,1)</f>
        <v>Beatriz Ferreira</v>
      </c>
      <c r="E281" t="str">
        <f>_xlfn.XLOOKUP(TBL_USUARIOS[[#This Row],[ID_MASSA]],tbl_de_massas[id_massa],tbl_de_massas[cartao_fisico_numero],"--",0,1)</f>
        <v>6062 8200 3120 7923</v>
      </c>
      <c r="F281" t="str">
        <f>_xlfn.XLOOKUP(TBL_USUARIOS[[#This Row],[ID_MASSA]],tbl_de_massas[id_massa],tbl_de_massas[cartao_fisico_cvv],"--",0,1)</f>
        <v>333</v>
      </c>
      <c r="G281" t="str">
        <f>_xlfn.XLOOKUP(TBL_USUARIOS[[#This Row],[ID_MASSA]],tbl_de_massas[id_massa],tbl_de_massas[cartao_virtual_numero],"--",0,1)</f>
        <v>6062 8200 3515 9166</v>
      </c>
      <c r="H281" t="str">
        <f>_xlfn.XLOOKUP(TBL_USUARIOS[[#This Row],[ID_MASSA]],tbl_de_massas[id_massa],tbl_de_massas[cartao_virtual_cvv],"--",0,1)</f>
        <v>333</v>
      </c>
    </row>
    <row r="282" spans="1:8" x14ac:dyDescent="0.25">
      <c r="A282" s="2" t="s">
        <v>2615</v>
      </c>
      <c r="B282" s="14" t="str">
        <f>_xlfn.XLOOKUP(TBL_USUARIOS[[#This Row],[ID_MASSA]],tbl_de_massas[id_massa],tbl_de_massas[cpf],"--",0,1)</f>
        <v>71113626917</v>
      </c>
      <c r="C282" t="s">
        <v>2779</v>
      </c>
      <c r="D282" t="str">
        <f>_xlfn.XLOOKUP(TBL_USUARIOS[[#This Row],[ID_MASSA]],tbl_de_massas[id_massa],tbl_de_massas[nome_completo],"--",0,1)</f>
        <v>Jian Liu</v>
      </c>
      <c r="E282" t="str">
        <f>_xlfn.XLOOKUP(TBL_USUARIOS[[#This Row],[ID_MASSA]],tbl_de_massas[id_massa],tbl_de_massas[cartao_fisico_numero],"--",0,1)</f>
        <v>4576 7460 1674 5339</v>
      </c>
      <c r="F282" t="str">
        <f>_xlfn.XLOOKUP(TBL_USUARIOS[[#This Row],[ID_MASSA]],tbl_de_massas[id_massa],tbl_de_massas[cartao_fisico_cvv],"--",0,1)</f>
        <v>333</v>
      </c>
      <c r="G282" t="str">
        <f>_xlfn.XLOOKUP(TBL_USUARIOS[[#This Row],[ID_MASSA]],tbl_de_massas[id_massa],tbl_de_massas[cartao_virtual_numero],"--",0,1)</f>
        <v>4576 7460 6250 3397</v>
      </c>
      <c r="H282" t="str">
        <f>_xlfn.XLOOKUP(TBL_USUARIOS[[#This Row],[ID_MASSA]],tbl_de_massas[id_massa],tbl_de_massas[cartao_virtual_cvv],"--",0,1)</f>
        <v>333</v>
      </c>
    </row>
    <row r="283" spans="1:8" x14ac:dyDescent="0.25">
      <c r="A283" s="2" t="s">
        <v>2619</v>
      </c>
      <c r="B283" s="14" t="str">
        <f>_xlfn.XLOOKUP(TBL_USUARIOS[[#This Row],[ID_MASSA]],tbl_de_massas[id_massa],tbl_de_massas[cpf],"--",0,1)</f>
        <v>86967614568</v>
      </c>
      <c r="C283" t="s">
        <v>2780</v>
      </c>
      <c r="D283" t="str">
        <f>_xlfn.XLOOKUP(TBL_USUARIOS[[#This Row],[ID_MASSA]],tbl_de_massas[id_massa],tbl_de_massas[nome_completo],"--",0,1)</f>
        <v>Jiwoo Park</v>
      </c>
      <c r="E283" t="str">
        <f>_xlfn.XLOOKUP(TBL_USUARIOS[[#This Row],[ID_MASSA]],tbl_de_massas[id_massa],tbl_de_massas[cartao_fisico_numero],"--",0,1)</f>
        <v/>
      </c>
      <c r="F283">
        <f>_xlfn.XLOOKUP(TBL_USUARIOS[[#This Row],[ID_MASSA]],tbl_de_massas[id_massa],tbl_de_massas[cartao_fisico_cvv],"--",0,1)</f>
        <v>0</v>
      </c>
      <c r="G283" t="str">
        <f>_xlfn.XLOOKUP(TBL_USUARIOS[[#This Row],[ID_MASSA]],tbl_de_massas[id_massa],tbl_de_massas[cartao_virtual_numero],"--",0,1)</f>
        <v>4576 7460 8726 2080</v>
      </c>
      <c r="H283" t="str">
        <f>_xlfn.XLOOKUP(TBL_USUARIOS[[#This Row],[ID_MASSA]],tbl_de_massas[id_massa],tbl_de_massas[cartao_virtual_cvv],"--",0,1)</f>
        <v>333</v>
      </c>
    </row>
    <row r="284" spans="1:8" x14ac:dyDescent="0.25">
      <c r="A284" s="2" t="s">
        <v>2622</v>
      </c>
      <c r="B284" s="14" t="str">
        <f>_xlfn.XLOOKUP(TBL_USUARIOS[[#This Row],[ID_MASSA]],tbl_de_massas[id_massa],tbl_de_massas[cpf],"--",0,1)</f>
        <v>70028698924</v>
      </c>
      <c r="C284" t="s">
        <v>2781</v>
      </c>
      <c r="D284" t="str">
        <f>_xlfn.XLOOKUP(TBL_USUARIOS[[#This Row],[ID_MASSA]],tbl_de_massas[id_massa],tbl_de_massas[nome_completo],"--",0,1)</f>
        <v>Juliana Lima Rezende</v>
      </c>
      <c r="E284" t="str">
        <f>_xlfn.XLOOKUP(TBL_USUARIOS[[#This Row],[ID_MASSA]],tbl_de_massas[id_massa],tbl_de_massas[cartao_fisico_numero],"--",0,1)</f>
        <v>4576 7460 4677 6166</v>
      </c>
      <c r="F284" t="str">
        <f>_xlfn.XLOOKUP(TBL_USUARIOS[[#This Row],[ID_MASSA]],tbl_de_massas[id_massa],tbl_de_massas[cartao_fisico_cvv],"--",0,1)</f>
        <v>333</v>
      </c>
      <c r="G284" t="str">
        <f>_xlfn.XLOOKUP(TBL_USUARIOS[[#This Row],[ID_MASSA]],tbl_de_massas[id_massa],tbl_de_massas[cartao_virtual_numero],"--",0,1)</f>
        <v/>
      </c>
      <c r="H284">
        <f>_xlfn.XLOOKUP(TBL_USUARIOS[[#This Row],[ID_MASSA]],tbl_de_massas[id_massa],tbl_de_massas[cartao_virtual_cvv],"--",0,1)</f>
        <v>0</v>
      </c>
    </row>
    <row r="285" spans="1:8" x14ac:dyDescent="0.25">
      <c r="A285" s="2" t="s">
        <v>2625</v>
      </c>
      <c r="B285" s="14" t="str">
        <f>_xlfn.XLOOKUP(TBL_USUARIOS[[#This Row],[ID_MASSA]],tbl_de_massas[id_massa],tbl_de_massas[cpf],"--",0,1)</f>
        <v>01648104550</v>
      </c>
      <c r="C285" t="s">
        <v>2782</v>
      </c>
      <c r="D285" t="str">
        <f>_xlfn.XLOOKUP(TBL_USUARIOS[[#This Row],[ID_MASSA]],tbl_de_massas[id_massa],tbl_de_massas[nome_completo],"--",0,1)</f>
        <v>Rodrigo Mendes Oliveira</v>
      </c>
      <c r="E285" t="str">
        <f>_xlfn.XLOOKUP(TBL_USUARIOS[[#This Row],[ID_MASSA]],tbl_de_massas[id_massa],tbl_de_massas[cartao_fisico_numero],"--",0,1)</f>
        <v>4576 7460 8497 6840</v>
      </c>
      <c r="F285" t="str">
        <f>_xlfn.XLOOKUP(TBL_USUARIOS[[#This Row],[ID_MASSA]],tbl_de_massas[id_massa],tbl_de_massas[cartao_fisico_cvv],"--",0,1)</f>
        <v>333</v>
      </c>
      <c r="G285" t="str">
        <f>_xlfn.XLOOKUP(TBL_USUARIOS[[#This Row],[ID_MASSA]],tbl_de_massas[id_massa],tbl_de_massas[cartao_virtual_numero],"--",0,1)</f>
        <v>4576 7460 7974 9491</v>
      </c>
      <c r="H285" t="str">
        <f>_xlfn.XLOOKUP(TBL_USUARIOS[[#This Row],[ID_MASSA]],tbl_de_massas[id_massa],tbl_de_massas[cartao_virtual_cvv],"--",0,1)</f>
        <v>333</v>
      </c>
    </row>
    <row r="286" spans="1:8" x14ac:dyDescent="0.25">
      <c r="A286" s="2" t="s">
        <v>2629</v>
      </c>
      <c r="B286" s="14" t="str">
        <f>_xlfn.XLOOKUP(TBL_USUARIOS[[#This Row],[ID_MASSA]],tbl_de_massas[id_massa],tbl_de_massas[cpf],"--",0,1)</f>
        <v>26840915360</v>
      </c>
      <c r="C286" t="s">
        <v>2783</v>
      </c>
      <c r="D286" t="str">
        <f>_xlfn.XLOOKUP(TBL_USUARIOS[[#This Row],[ID_MASSA]],tbl_de_massas[id_massa],tbl_de_massas[nome_completo],"--",0,1)</f>
        <v>Felix Weber</v>
      </c>
      <c r="E286" t="str">
        <f>_xlfn.XLOOKUP(TBL_USUARIOS[[#This Row],[ID_MASSA]],tbl_de_massas[id_massa],tbl_de_massas[cartao_fisico_numero],"--",0,1)</f>
        <v/>
      </c>
      <c r="F286">
        <f>_xlfn.XLOOKUP(TBL_USUARIOS[[#This Row],[ID_MASSA]],tbl_de_massas[id_massa],tbl_de_massas[cartao_fisico_cvv],"--",0,1)</f>
        <v>0</v>
      </c>
      <c r="G286" t="str">
        <f>_xlfn.XLOOKUP(TBL_USUARIOS[[#This Row],[ID_MASSA]],tbl_de_massas[id_massa],tbl_de_massas[cartao_virtual_numero],"--",0,1)</f>
        <v>4576 7460 6513 3472</v>
      </c>
      <c r="H286" t="str">
        <f>_xlfn.XLOOKUP(TBL_USUARIOS[[#This Row],[ID_MASSA]],tbl_de_massas[id_massa],tbl_de_massas[cartao_virtual_cvv],"--",0,1)</f>
        <v>333</v>
      </c>
    </row>
    <row r="287" spans="1:8" x14ac:dyDescent="0.25">
      <c r="A287" s="2" t="s">
        <v>2632</v>
      </c>
      <c r="B287" s="14" t="str">
        <f>_xlfn.XLOOKUP(TBL_USUARIOS[[#This Row],[ID_MASSA]],tbl_de_massas[id_massa],tbl_de_massas[cpf],"--",0,1)</f>
        <v>28260181401</v>
      </c>
      <c r="C287" t="s">
        <v>2784</v>
      </c>
      <c r="D287" t="str">
        <f>_xlfn.XLOOKUP(TBL_USUARIOS[[#This Row],[ID_MASSA]],tbl_de_massas[id_massa],tbl_de_massas[nome_completo],"--",0,1)</f>
        <v>Mateo Fernandez</v>
      </c>
      <c r="E287" t="str">
        <f>_xlfn.XLOOKUP(TBL_USUARIOS[[#This Row],[ID_MASSA]],tbl_de_massas[id_massa],tbl_de_massas[cartao_fisico_numero],"--",0,1)</f>
        <v>6505 0666 5159 2007</v>
      </c>
      <c r="F287" t="str">
        <f>_xlfn.XLOOKUP(TBL_USUARIOS[[#This Row],[ID_MASSA]],tbl_de_massas[id_massa],tbl_de_massas[cartao_fisico_cvv],"--",0,1)</f>
        <v>333</v>
      </c>
      <c r="G287" t="str">
        <f>_xlfn.XLOOKUP(TBL_USUARIOS[[#This Row],[ID_MASSA]],tbl_de_massas[id_massa],tbl_de_massas[cartao_virtual_numero],"--",0,1)</f>
        <v>6505 0666 5181 5927</v>
      </c>
      <c r="H287" t="str">
        <f>_xlfn.XLOOKUP(TBL_USUARIOS[[#This Row],[ID_MASSA]],tbl_de_massas[id_massa],tbl_de_massas[cartao_virtual_cvv],"--",0,1)</f>
        <v>333</v>
      </c>
    </row>
    <row r="288" spans="1:8" x14ac:dyDescent="0.25">
      <c r="A288" s="2" t="s">
        <v>2636</v>
      </c>
      <c r="B288" s="14" t="str">
        <f>_xlfn.XLOOKUP(TBL_USUARIOS[[#This Row],[ID_MASSA]],tbl_de_massas[id_massa],tbl_de_massas[cpf],"--",0,1)</f>
        <v>79424163800</v>
      </c>
      <c r="C288" t="s">
        <v>2785</v>
      </c>
      <c r="D288" t="str">
        <f>_xlfn.XLOOKUP(TBL_USUARIOS[[#This Row],[ID_MASSA]],tbl_de_massas[id_massa],tbl_de_massas[nome_completo],"--",0,1)</f>
        <v>Seoyun Lee</v>
      </c>
      <c r="E288" t="str">
        <f>_xlfn.XLOOKUP(TBL_USUARIOS[[#This Row],[ID_MASSA]],tbl_de_massas[id_massa],tbl_de_massas[cartao_fisico_numero],"--",0,1)</f>
        <v>6505 0666 8807 1750</v>
      </c>
      <c r="F288" t="str">
        <f>_xlfn.XLOOKUP(TBL_USUARIOS[[#This Row],[ID_MASSA]],tbl_de_massas[id_massa],tbl_de_massas[cartao_fisico_cvv],"--",0,1)</f>
        <v>333</v>
      </c>
      <c r="G288" t="str">
        <f>_xlfn.XLOOKUP(TBL_USUARIOS[[#This Row],[ID_MASSA]],tbl_de_massas[id_massa],tbl_de_massas[cartao_virtual_numero],"--",0,1)</f>
        <v/>
      </c>
      <c r="H288">
        <f>_xlfn.XLOOKUP(TBL_USUARIOS[[#This Row],[ID_MASSA]],tbl_de_massas[id_massa],tbl_de_massas[cartao_virtual_cvv],"--",0,1)</f>
        <v>0</v>
      </c>
    </row>
    <row r="289" spans="1:8" x14ac:dyDescent="0.25">
      <c r="A289" s="2" t="s">
        <v>2639</v>
      </c>
      <c r="B289" s="14" t="str">
        <f>_xlfn.XLOOKUP(TBL_USUARIOS[[#This Row],[ID_MASSA]],tbl_de_massas[id_massa],tbl_de_massas[cpf],"--",0,1)</f>
        <v>64896650930</v>
      </c>
      <c r="C289" t="s">
        <v>2786</v>
      </c>
      <c r="D289" t="str">
        <f>_xlfn.XLOOKUP(TBL_USUARIOS[[#This Row],[ID_MASSA]],tbl_de_massas[id_massa],tbl_de_massas[nome_completo],"--",0,1)</f>
        <v>Ming Zhang</v>
      </c>
      <c r="E289" t="str">
        <f>_xlfn.XLOOKUP(TBL_USUARIOS[[#This Row],[ID_MASSA]],tbl_de_massas[id_massa],tbl_de_massas[cartao_fisico_numero],"--",0,1)</f>
        <v>4576 7460 8061 6781</v>
      </c>
      <c r="F289" t="str">
        <f>_xlfn.XLOOKUP(TBL_USUARIOS[[#This Row],[ID_MASSA]],tbl_de_massas[id_massa],tbl_de_massas[cartao_fisico_cvv],"--",0,1)</f>
        <v>333</v>
      </c>
      <c r="G289" t="str">
        <f>_xlfn.XLOOKUP(TBL_USUARIOS[[#This Row],[ID_MASSA]],tbl_de_massas[id_massa],tbl_de_massas[cartao_virtual_numero],"--",0,1)</f>
        <v/>
      </c>
      <c r="H289">
        <f>_xlfn.XLOOKUP(TBL_USUARIOS[[#This Row],[ID_MASSA]],tbl_de_massas[id_massa],tbl_de_massas[cartao_virtual_cvv],"--",0,1)</f>
        <v>0</v>
      </c>
    </row>
    <row r="290" spans="1:8" x14ac:dyDescent="0.25">
      <c r="A290" s="2" t="s">
        <v>2642</v>
      </c>
      <c r="B290" s="14" t="str">
        <f>_xlfn.XLOOKUP(TBL_USUARIOS[[#This Row],[ID_MASSA]],tbl_de_massas[id_massa],tbl_de_massas[cpf],"--",0,1)</f>
        <v>02840244063</v>
      </c>
      <c r="C290" t="s">
        <v>2787</v>
      </c>
      <c r="D290" t="str">
        <f>_xlfn.XLOOKUP(TBL_USUARIOS[[#This Row],[ID_MASSA]],tbl_de_massas[id_massa],tbl_de_massas[nome_completo],"--",0,1)</f>
        <v>Wei Li</v>
      </c>
      <c r="E290" t="str">
        <f>_xlfn.XLOOKUP(TBL_USUARIOS[[#This Row],[ID_MASSA]],tbl_de_massas[id_massa],tbl_de_massas[cartao_fisico_numero],"--",0,1)</f>
        <v>4576 7460 6093 5379</v>
      </c>
      <c r="F290" t="str">
        <f>_xlfn.XLOOKUP(TBL_USUARIOS[[#This Row],[ID_MASSA]],tbl_de_massas[id_massa],tbl_de_massas[cartao_fisico_cvv],"--",0,1)</f>
        <v>333</v>
      </c>
      <c r="G290" t="str">
        <f>_xlfn.XLOOKUP(TBL_USUARIOS[[#This Row],[ID_MASSA]],tbl_de_massas[id_massa],tbl_de_massas[cartao_virtual_numero],"--",0,1)</f>
        <v/>
      </c>
      <c r="H290">
        <f>_xlfn.XLOOKUP(TBL_USUARIOS[[#This Row],[ID_MASSA]],tbl_de_massas[id_massa],tbl_de_massas[cartao_virtual_cvv],"--",0,1)</f>
        <v>0</v>
      </c>
    </row>
    <row r="291" spans="1:8" x14ac:dyDescent="0.25">
      <c r="A291" s="2" t="s">
        <v>2645</v>
      </c>
      <c r="B291" s="14" t="str">
        <f>_xlfn.XLOOKUP(TBL_USUARIOS[[#This Row],[ID_MASSA]],tbl_de_massas[id_massa],tbl_de_massas[cpf],"--",0,1)</f>
        <v>14774436739</v>
      </c>
      <c r="C291" t="s">
        <v>2788</v>
      </c>
      <c r="D291" t="str">
        <f>_xlfn.XLOOKUP(TBL_USUARIOS[[#This Row],[ID_MASSA]],tbl_de_massas[id_massa],tbl_de_massas[nome_completo],"--",0,1)</f>
        <v>Matteo Rossi</v>
      </c>
      <c r="E291" t="str">
        <f>_xlfn.XLOOKUP(TBL_USUARIOS[[#This Row],[ID_MASSA]],tbl_de_massas[id_massa],tbl_de_massas[cartao_fisico_numero],"--",0,1)</f>
        <v>6062 8200 2163 5716</v>
      </c>
      <c r="F291" t="str">
        <f>_xlfn.XLOOKUP(TBL_USUARIOS[[#This Row],[ID_MASSA]],tbl_de_massas[id_massa],tbl_de_massas[cartao_fisico_cvv],"--",0,1)</f>
        <v>333</v>
      </c>
      <c r="G291" t="str">
        <f>_xlfn.XLOOKUP(TBL_USUARIOS[[#This Row],[ID_MASSA]],tbl_de_massas[id_massa],tbl_de_massas[cartao_virtual_numero],"--",0,1)</f>
        <v>6062 8200 1993 6852</v>
      </c>
      <c r="H291" t="str">
        <f>_xlfn.XLOOKUP(TBL_USUARIOS[[#This Row],[ID_MASSA]],tbl_de_massas[id_massa],tbl_de_massas[cartao_virtual_cvv],"--",0,1)</f>
        <v>333</v>
      </c>
    </row>
    <row r="292" spans="1:8" x14ac:dyDescent="0.25">
      <c r="A292" s="2" t="s">
        <v>2649</v>
      </c>
      <c r="B292" s="14" t="str">
        <f>_xlfn.XLOOKUP(TBL_USUARIOS[[#This Row],[ID_MASSA]],tbl_de_massas[id_massa],tbl_de_massas[cpf],"--",0,1)</f>
        <v>32660006920</v>
      </c>
      <c r="C292" t="s">
        <v>2789</v>
      </c>
      <c r="D292" t="str">
        <f>_xlfn.XLOOKUP(TBL_USUARIOS[[#This Row],[ID_MASSA]],tbl_de_massas[id_massa],tbl_de_massas[nome_completo],"--",0,1)</f>
        <v>Leonardo Bianchi</v>
      </c>
      <c r="E292" t="str">
        <f>_xlfn.XLOOKUP(TBL_USUARIOS[[#This Row],[ID_MASSA]],tbl_de_massas[id_massa],tbl_de_massas[cartao_fisico_numero],"--",0,1)</f>
        <v/>
      </c>
      <c r="F292">
        <f>_xlfn.XLOOKUP(TBL_USUARIOS[[#This Row],[ID_MASSA]],tbl_de_massas[id_massa],tbl_de_massas[cartao_fisico_cvv],"--",0,1)</f>
        <v>0</v>
      </c>
      <c r="G292" t="str">
        <f>_xlfn.XLOOKUP(TBL_USUARIOS[[#This Row],[ID_MASSA]],tbl_de_massas[id_massa],tbl_de_massas[cartao_virtual_numero],"--",0,1)</f>
        <v>3782 670027 7182</v>
      </c>
      <c r="H292" t="str">
        <f>_xlfn.XLOOKUP(TBL_USUARIOS[[#This Row],[ID_MASSA]],tbl_de_massas[id_massa],tbl_de_massas[cartao_virtual_cvv],"--",0,1)</f>
        <v>8821</v>
      </c>
    </row>
    <row r="293" spans="1:8" x14ac:dyDescent="0.25">
      <c r="A293" s="2" t="s">
        <v>2652</v>
      </c>
      <c r="B293" s="14" t="str">
        <f>_xlfn.XLOOKUP(TBL_USUARIOS[[#This Row],[ID_MASSA]],tbl_de_massas[id_massa],tbl_de_massas[cpf],"--",0,1)</f>
        <v>31151984264</v>
      </c>
      <c r="C293" t="s">
        <v>2790</v>
      </c>
      <c r="D293" t="str">
        <f>_xlfn.XLOOKUP(TBL_USUARIOS[[#This Row],[ID_MASSA]],tbl_de_massas[id_massa],tbl_de_massas[nome_completo],"--",0,1)</f>
        <v>Yan Yang</v>
      </c>
      <c r="E293" t="str">
        <f>_xlfn.XLOOKUP(TBL_USUARIOS[[#This Row],[ID_MASSA]],tbl_de_massas[id_massa],tbl_de_massas[cartao_fisico_numero],"--",0,1)</f>
        <v>6062 8200 2411 7903</v>
      </c>
      <c r="F293" t="str">
        <f>_xlfn.XLOOKUP(TBL_USUARIOS[[#This Row],[ID_MASSA]],tbl_de_massas[id_massa],tbl_de_massas[cartao_fisico_cvv],"--",0,1)</f>
        <v>333</v>
      </c>
      <c r="G293" t="str">
        <f>_xlfn.XLOOKUP(TBL_USUARIOS[[#This Row],[ID_MASSA]],tbl_de_massas[id_massa],tbl_de_massas[cartao_virtual_numero],"--",0,1)</f>
        <v>6062 8200 2775 0900</v>
      </c>
      <c r="H293" t="str">
        <f>_xlfn.XLOOKUP(TBL_USUARIOS[[#This Row],[ID_MASSA]],tbl_de_massas[id_massa],tbl_de_massas[cartao_virtual_cvv],"--",0,1)</f>
        <v>333</v>
      </c>
    </row>
    <row r="294" spans="1:8" x14ac:dyDescent="0.25">
      <c r="A294" s="2" t="s">
        <v>2656</v>
      </c>
      <c r="B294" s="14" t="str">
        <f>_xlfn.XLOOKUP(TBL_USUARIOS[[#This Row],[ID_MASSA]],tbl_de_massas[id_massa],tbl_de_massas[cpf],"--",0,1)</f>
        <v>19841659174</v>
      </c>
      <c r="C294" t="s">
        <v>2791</v>
      </c>
      <c r="D294" t="str">
        <f>_xlfn.XLOOKUP(TBL_USUARIOS[[#This Row],[ID_MASSA]],tbl_de_massas[id_massa],tbl_de_massas[nome_completo],"--",0,1)</f>
        <v>Gabriel Vinicius Souza</v>
      </c>
      <c r="E294" t="str">
        <f>_xlfn.XLOOKUP(TBL_USUARIOS[[#This Row],[ID_MASSA]],tbl_de_massas[id_massa],tbl_de_massas[cartao_fisico_numero],"--",0,1)</f>
        <v>5442 7460 7383 3835</v>
      </c>
      <c r="F294" t="str">
        <f>_xlfn.XLOOKUP(TBL_USUARIOS[[#This Row],[ID_MASSA]],tbl_de_massas[id_massa],tbl_de_massas[cartao_fisico_cvv],"--",0,1)</f>
        <v>333</v>
      </c>
      <c r="G294" t="str">
        <f>_xlfn.XLOOKUP(TBL_USUARIOS[[#This Row],[ID_MASSA]],tbl_de_massas[id_massa],tbl_de_massas[cartao_virtual_numero],"--",0,1)</f>
        <v/>
      </c>
      <c r="H294">
        <f>_xlfn.XLOOKUP(TBL_USUARIOS[[#This Row],[ID_MASSA]],tbl_de_massas[id_massa],tbl_de_massas[cartao_virtual_cvv],"--",0,1)</f>
        <v>0</v>
      </c>
    </row>
    <row r="295" spans="1:8" x14ac:dyDescent="0.25">
      <c r="A295" s="2" t="s">
        <v>2659</v>
      </c>
      <c r="B295" s="14" t="str">
        <f>_xlfn.XLOOKUP(TBL_USUARIOS[[#This Row],[ID_MASSA]],tbl_de_massas[id_massa],tbl_de_massas[cpf],"--",0,1)</f>
        <v>93035404763</v>
      </c>
      <c r="C295" t="s">
        <v>2792</v>
      </c>
      <c r="D295" t="str">
        <f>_xlfn.XLOOKUP(TBL_USUARIOS[[#This Row],[ID_MASSA]],tbl_de_massas[id_massa],tbl_de_massas[nome_completo],"--",0,1)</f>
        <v>Valentina Rodriguez</v>
      </c>
      <c r="E295" t="str">
        <f>_xlfn.XLOOKUP(TBL_USUARIOS[[#This Row],[ID_MASSA]],tbl_de_massas[id_massa],tbl_de_massas[cartao_fisico_numero],"--",0,1)</f>
        <v>6505 0666 3842 0160</v>
      </c>
      <c r="F295" t="str">
        <f>_xlfn.XLOOKUP(TBL_USUARIOS[[#This Row],[ID_MASSA]],tbl_de_massas[id_massa],tbl_de_massas[cartao_fisico_cvv],"--",0,1)</f>
        <v>333</v>
      </c>
      <c r="G295" t="str">
        <f>_xlfn.XLOOKUP(TBL_USUARIOS[[#This Row],[ID_MASSA]],tbl_de_massas[id_massa],tbl_de_massas[cartao_virtual_numero],"--",0,1)</f>
        <v>6505 0666 3722 6039</v>
      </c>
      <c r="H295" t="str">
        <f>_xlfn.XLOOKUP(TBL_USUARIOS[[#This Row],[ID_MASSA]],tbl_de_massas[id_massa],tbl_de_massas[cartao_virtual_cvv],"--",0,1)</f>
        <v>333</v>
      </c>
    </row>
    <row r="296" spans="1:8" x14ac:dyDescent="0.25">
      <c r="A296" s="2" t="s">
        <v>2663</v>
      </c>
      <c r="B296" s="14" t="str">
        <f>_xlfn.XLOOKUP(TBL_USUARIOS[[#This Row],[ID_MASSA]],tbl_de_massas[id_massa],tbl_de_massas[cpf],"--",0,1)</f>
        <v>93573495370</v>
      </c>
      <c r="C296" t="s">
        <v>2793</v>
      </c>
      <c r="D296" t="str">
        <f>_xlfn.XLOOKUP(TBL_USUARIOS[[#This Row],[ID_MASSA]],tbl_de_massas[id_massa],tbl_de_massas[nome_completo],"--",0,1)</f>
        <v>Sofia Esposito</v>
      </c>
      <c r="E296" t="str">
        <f>_xlfn.XLOOKUP(TBL_USUARIOS[[#This Row],[ID_MASSA]],tbl_de_massas[id_massa],tbl_de_massas[cartao_fisico_numero],"--",0,1)</f>
        <v>6505 0666 3012 1270</v>
      </c>
      <c r="F296" t="str">
        <f>_xlfn.XLOOKUP(TBL_USUARIOS[[#This Row],[ID_MASSA]],tbl_de_massas[id_massa],tbl_de_massas[cartao_fisico_cvv],"--",0,1)</f>
        <v>333</v>
      </c>
      <c r="G296" t="str">
        <f>_xlfn.XLOOKUP(TBL_USUARIOS[[#This Row],[ID_MASSA]],tbl_de_massas[id_massa],tbl_de_massas[cartao_virtual_numero],"--",0,1)</f>
        <v>6505 0666 3887 5658</v>
      </c>
      <c r="H296" t="str">
        <f>_xlfn.XLOOKUP(TBL_USUARIOS[[#This Row],[ID_MASSA]],tbl_de_massas[id_massa],tbl_de_massas[cartao_virtual_cvv],"--",0,1)</f>
        <v>333</v>
      </c>
    </row>
    <row r="297" spans="1:8" x14ac:dyDescent="0.25">
      <c r="A297" s="2" t="s">
        <v>2677</v>
      </c>
      <c r="B297" s="14" t="str">
        <f>_xlfn.XLOOKUP(TBL_USUARIOS[[#This Row],[ID_MASSA]],tbl_de_massas[id_massa],tbl_de_massas[cpf],"--",0,1)</f>
        <v>28291888531</v>
      </c>
      <c r="C297" t="s">
        <v>2794</v>
      </c>
      <c r="D297" t="str">
        <f>_xlfn.XLOOKUP(TBL_USUARIOS[[#This Row],[ID_MASSA]],tbl_de_massas[id_massa],tbl_de_massas[nome_completo],"--",0,1)</f>
        <v>Lucas Gabriel Ferreira tu</v>
      </c>
      <c r="E297" t="str">
        <f>_xlfn.XLOOKUP(TBL_USUARIOS[[#This Row],[ID_MASSA]],tbl_de_massas[id_massa],tbl_de_massas[cartao_fisico_numero],"--",0,1)</f>
        <v/>
      </c>
      <c r="F297">
        <f>_xlfn.XLOOKUP(TBL_USUARIOS[[#This Row],[ID_MASSA]],tbl_de_massas[id_massa],tbl_de_massas[cartao_fisico_cvv],"--",0,1)</f>
        <v>0</v>
      </c>
      <c r="G297" t="str">
        <f>_xlfn.XLOOKUP(TBL_USUARIOS[[#This Row],[ID_MASSA]],tbl_de_massas[id_massa],tbl_de_massas[cartao_virtual_numero],"--",0,1)</f>
        <v>3782 907725 6467</v>
      </c>
      <c r="H297" t="str">
        <f>_xlfn.XLOOKUP(TBL_USUARIOS[[#This Row],[ID_MASSA]],tbl_de_massas[id_massa],tbl_de_massas[cartao_virtual_cvv],"--",0,1)</f>
        <v>8821</v>
      </c>
    </row>
    <row r="298" spans="1:8" x14ac:dyDescent="0.25">
      <c r="A298" s="2" t="s">
        <v>2681</v>
      </c>
      <c r="B298" s="14" t="str">
        <f>_xlfn.XLOOKUP(TBL_USUARIOS[[#This Row],[ID_MASSA]],tbl_de_massas[id_massa],tbl_de_massas[cpf],"--",0,1)</f>
        <v>44010031107</v>
      </c>
      <c r="C298" t="s">
        <v>2795</v>
      </c>
      <c r="D298" t="str">
        <f>_xlfn.XLOOKUP(TBL_USUARIOS[[#This Row],[ID_MASSA]],tbl_de_massas[id_massa],tbl_de_massas[nome_completo],"--",0,1)</f>
        <v>Santiago Gomez th</v>
      </c>
      <c r="E298" t="str">
        <f>_xlfn.XLOOKUP(TBL_USUARIOS[[#This Row],[ID_MASSA]],tbl_de_massas[id_massa],tbl_de_massas[cartao_fisico_numero],"--",0,1)</f>
        <v>6505 0666 5766 8664</v>
      </c>
      <c r="F298" t="str">
        <f>_xlfn.XLOOKUP(TBL_USUARIOS[[#This Row],[ID_MASSA]],tbl_de_massas[id_massa],tbl_de_massas[cartao_fisico_cvv],"--",0,1)</f>
        <v>333</v>
      </c>
      <c r="G298" t="str">
        <f>_xlfn.XLOOKUP(TBL_USUARIOS[[#This Row],[ID_MASSA]],tbl_de_massas[id_massa],tbl_de_massas[cartao_virtual_numero],"--",0,1)</f>
        <v>6505 0666 4809 9426</v>
      </c>
      <c r="H298" t="str">
        <f>_xlfn.XLOOKUP(TBL_USUARIOS[[#This Row],[ID_MASSA]],tbl_de_massas[id_massa],tbl_de_massas[cartao_virtual_cvv],"--",0,1)</f>
        <v>333</v>
      </c>
    </row>
    <row r="299" spans="1:8" x14ac:dyDescent="0.25">
      <c r="A299" s="2" t="s">
        <v>2686</v>
      </c>
      <c r="B299" s="14" t="str">
        <f>_xlfn.XLOOKUP(TBL_USUARIOS[[#This Row],[ID_MASSA]],tbl_de_massas[id_massa],tbl_de_massas[cpf],"--",0,1)</f>
        <v>08554650344</v>
      </c>
      <c r="C299" t="s">
        <v>2796</v>
      </c>
      <c r="D299" t="str">
        <f>_xlfn.XLOOKUP(TBL_USUARIOS[[#This Row],[ID_MASSA]],tbl_de_massas[id_massa],tbl_de_massas[nome_completo],"--",0,1)</f>
        <v>William Robert Miller tr</v>
      </c>
      <c r="E299" t="str">
        <f>_xlfn.XLOOKUP(TBL_USUARIOS[[#This Row],[ID_MASSA]],tbl_de_massas[id_massa],tbl_de_massas[cartao_fisico_numero],"--",0,1)</f>
        <v>6505 0666 6891 8089</v>
      </c>
      <c r="F299" t="str">
        <f>_xlfn.XLOOKUP(TBL_USUARIOS[[#This Row],[ID_MASSA]],tbl_de_massas[id_massa],tbl_de_massas[cartao_fisico_cvv],"--",0,1)</f>
        <v>333</v>
      </c>
      <c r="G299" t="str">
        <f>_xlfn.XLOOKUP(TBL_USUARIOS[[#This Row],[ID_MASSA]],tbl_de_massas[id_massa],tbl_de_massas[cartao_virtual_numero],"--",0,1)</f>
        <v/>
      </c>
      <c r="H299">
        <f>_xlfn.XLOOKUP(TBL_USUARIOS[[#This Row],[ID_MASSA]],tbl_de_massas[id_massa],tbl_de_massas[cartao_virtual_cvv],"--",0,1)</f>
        <v>0</v>
      </c>
    </row>
    <row r="300" spans="1:8" x14ac:dyDescent="0.25">
      <c r="A300" s="2" t="s">
        <v>2690</v>
      </c>
      <c r="B300" s="14" t="str">
        <f>_xlfn.XLOOKUP(TBL_USUARIOS[[#This Row],[ID_MASSA]],tbl_de_massas[id_massa],tbl_de_massas[cpf],"--",0,1)</f>
        <v>46902786445</v>
      </c>
      <c r="C300" t="s">
        <v>2797</v>
      </c>
      <c r="D300" t="str">
        <f>_xlfn.XLOOKUP(TBL_USUARIOS[[#This Row],[ID_MASSA]],tbl_de_massas[id_massa],tbl_de_massas[nome_completo],"--",0,1)</f>
        <v>Joon Jeonger</v>
      </c>
      <c r="E300" t="str">
        <f>_xlfn.XLOOKUP(TBL_USUARIOS[[#This Row],[ID_MASSA]],tbl_de_massas[id_massa],tbl_de_massas[cartao_fisico_numero],"--",0,1)</f>
        <v/>
      </c>
      <c r="F300">
        <f>_xlfn.XLOOKUP(TBL_USUARIOS[[#This Row],[ID_MASSA]],tbl_de_massas[id_massa],tbl_de_massas[cartao_fisico_cvv],"--",0,1)</f>
        <v>0</v>
      </c>
      <c r="G300" t="str">
        <f>_xlfn.XLOOKUP(TBL_USUARIOS[[#This Row],[ID_MASSA]],tbl_de_massas[id_massa],tbl_de_massas[cartao_virtual_numero],"--",0,1)</f>
        <v>6062 8200 4179 7276</v>
      </c>
      <c r="H300" t="str">
        <f>_xlfn.XLOOKUP(TBL_USUARIOS[[#This Row],[ID_MASSA]],tbl_de_massas[id_massa],tbl_de_massas[cartao_virtual_cvv],"--",0,1)</f>
        <v>333</v>
      </c>
    </row>
    <row r="301" spans="1:8" x14ac:dyDescent="0.25">
      <c r="A301" s="2" t="s">
        <v>2694</v>
      </c>
      <c r="B301" s="14" t="str">
        <f>_xlfn.XLOOKUP(TBL_USUARIOS[[#This Row],[ID_MASSA]],tbl_de_massas[id_massa],tbl_de_massas[cpf],"--",0,1)</f>
        <v>39088866783</v>
      </c>
      <c r="C301" t="s">
        <v>2798</v>
      </c>
      <c r="D301" t="str">
        <f>_xlfn.XLOOKUP(TBL_USUARIOS[[#This Row],[ID_MASSA]],tbl_de_massas[id_massa],tbl_de_massas[nome_completo],"--",0,1)</f>
        <v>Camille Martinwe</v>
      </c>
      <c r="E301" t="str">
        <f>_xlfn.XLOOKUP(TBL_USUARIOS[[#This Row],[ID_MASSA]],tbl_de_massas[id_massa],tbl_de_massas[cartao_fisico_numero],"--",0,1)</f>
        <v/>
      </c>
      <c r="F301">
        <f>_xlfn.XLOOKUP(TBL_USUARIOS[[#This Row],[ID_MASSA]],tbl_de_massas[id_massa],tbl_de_massas[cartao_fisico_cvv],"--",0,1)</f>
        <v>0</v>
      </c>
      <c r="G301" t="str">
        <f>_xlfn.XLOOKUP(TBL_USUARIOS[[#This Row],[ID_MASSA]],tbl_de_massas[id_massa],tbl_de_massas[cartao_virtual_numero],"--",0,1)</f>
        <v>6062 8200 7718 9134</v>
      </c>
      <c r="H301" t="str">
        <f>_xlfn.XLOOKUP(TBL_USUARIOS[[#This Row],[ID_MASSA]],tbl_de_massas[id_massa],tbl_de_massas[cartao_virtual_cvv],"--",0,1)</f>
        <v>333</v>
      </c>
    </row>
    <row r="302" spans="1:8" x14ac:dyDescent="0.25">
      <c r="A302" s="2" t="s">
        <v>2698</v>
      </c>
      <c r="B302" s="14" t="str">
        <f>_xlfn.XLOOKUP(TBL_USUARIOS[[#This Row],[ID_MASSA]],tbl_de_massas[id_massa],tbl_de_massas[cpf],"--",0,1)</f>
        <v>53743477645</v>
      </c>
      <c r="C302" t="s">
        <v>2799</v>
      </c>
      <c r="D302" t="str">
        <f>_xlfn.XLOOKUP(TBL_USUARIOS[[#This Row],[ID_MASSA]],tbl_de_massas[id_massa],tbl_de_massas[nome_completo],"--",0,1)</f>
        <v>Fahad Al-Ghamdiqw</v>
      </c>
      <c r="E302" t="str">
        <f>_xlfn.XLOOKUP(TBL_USUARIOS[[#This Row],[ID_MASSA]],tbl_de_massas[id_massa],tbl_de_massas[cartao_fisico_numero],"--",0,1)</f>
        <v>5442 7460 8269 3670</v>
      </c>
      <c r="F302" t="str">
        <f>_xlfn.XLOOKUP(TBL_USUARIOS[[#This Row],[ID_MASSA]],tbl_de_massas[id_massa],tbl_de_massas[cartao_fisico_cvv],"--",0,1)</f>
        <v>333</v>
      </c>
      <c r="G302" t="str">
        <f>_xlfn.XLOOKUP(TBL_USUARIOS[[#This Row],[ID_MASSA]],tbl_de_massas[id_massa],tbl_de_massas[cartao_virtual_numero],"--",0,1)</f>
        <v>5442 7460 7820 5942</v>
      </c>
      <c r="H302" t="str">
        <f>_xlfn.XLOOKUP(TBL_USUARIOS[[#This Row],[ID_MASSA]],tbl_de_massas[id_massa],tbl_de_massas[cartao_virtual_cvv],"--",0,1)</f>
        <v>333</v>
      </c>
    </row>
    <row r="303" spans="1:8" x14ac:dyDescent="0.25">
      <c r="A303" s="2" t="s">
        <v>2703</v>
      </c>
      <c r="B303" s="14" t="str">
        <f>_xlfn.XLOOKUP(TBL_USUARIOS[[#This Row],[ID_MASSA]],tbl_de_massas[id_massa],tbl_de_massas[cpf],"--",0,1)</f>
        <v>58379245580</v>
      </c>
      <c r="C303" t="s">
        <v>2800</v>
      </c>
      <c r="D303" t="str">
        <f>_xlfn.XLOOKUP(TBL_USUARIOS[[#This Row],[ID_MASSA]],tbl_de_massas[id_massa],tbl_de_massas[nome_completo],"--",0,1)</f>
        <v>Ren Itoqw</v>
      </c>
      <c r="E303" t="str">
        <f>_xlfn.XLOOKUP(TBL_USUARIOS[[#This Row],[ID_MASSA]],tbl_de_massas[id_massa],tbl_de_massas[cartao_fisico_numero],"--",0,1)</f>
        <v>6062 8200 1212 0475</v>
      </c>
      <c r="F303" t="str">
        <f>_xlfn.XLOOKUP(TBL_USUARIOS[[#This Row],[ID_MASSA]],tbl_de_massas[id_massa],tbl_de_massas[cartao_fisico_cvv],"--",0,1)</f>
        <v>333</v>
      </c>
      <c r="G303" t="str">
        <f>_xlfn.XLOOKUP(TBL_USUARIOS[[#This Row],[ID_MASSA]],tbl_de_massas[id_massa],tbl_de_massas[cartao_virtual_numero],"--",0,1)</f>
        <v>6062 8200 1934 2795</v>
      </c>
      <c r="H303" t="str">
        <f>_xlfn.XLOOKUP(TBL_USUARIOS[[#This Row],[ID_MASSA]],tbl_de_massas[id_massa],tbl_de_massas[cartao_virtual_cvv],"--",0,1)</f>
        <v>333</v>
      </c>
    </row>
    <row r="304" spans="1:8" x14ac:dyDescent="0.25">
      <c r="A304" s="2" t="s">
        <v>2708</v>
      </c>
      <c r="B304" s="14" t="str">
        <f>_xlfn.XLOOKUP(TBL_USUARIOS[[#This Row],[ID_MASSA]],tbl_de_massas[id_massa],tbl_de_massas[cpf],"--",0,1)</f>
        <v>93373358590</v>
      </c>
      <c r="C304" t="s">
        <v>2801</v>
      </c>
      <c r="D304" t="str">
        <f>_xlfn.XLOOKUP(TBL_USUARIOS[[#This Row],[ID_MASSA]],tbl_de_massas[id_massa],tbl_de_massas[nome_completo],"--",0,1)</f>
        <v>Santiago Gomasez</v>
      </c>
      <c r="E304" t="str">
        <f>_xlfn.XLOOKUP(TBL_USUARIOS[[#This Row],[ID_MASSA]],tbl_de_massas[id_massa],tbl_de_massas[cartao_fisico_numero],"--",0,1)</f>
        <v/>
      </c>
      <c r="F304">
        <f>_xlfn.XLOOKUP(TBL_USUARIOS[[#This Row],[ID_MASSA]],tbl_de_massas[id_massa],tbl_de_massas[cartao_fisico_cvv],"--",0,1)</f>
        <v>0</v>
      </c>
      <c r="G304" t="str">
        <f>_xlfn.XLOOKUP(TBL_USUARIOS[[#This Row],[ID_MASSA]],tbl_de_massas[id_massa],tbl_de_massas[cartao_virtual_numero],"--",0,1)</f>
        <v>5442 7460 8218 6799</v>
      </c>
      <c r="H304" t="str">
        <f>_xlfn.XLOOKUP(TBL_USUARIOS[[#This Row],[ID_MASSA]],tbl_de_massas[id_massa],tbl_de_massas[cartao_virtual_cvv],"--",0,1)</f>
        <v>333</v>
      </c>
    </row>
    <row r="305" spans="1:8" x14ac:dyDescent="0.25">
      <c r="A305" s="2" t="s">
        <v>2712</v>
      </c>
      <c r="B305" s="14" t="str">
        <f>_xlfn.XLOOKUP(TBL_USUARIOS[[#This Row],[ID_MASSA]],tbl_de_massas[id_massa],tbl_de_massas[cpf],"--",0,1)</f>
        <v>98223563312</v>
      </c>
      <c r="C305" t="s">
        <v>2802</v>
      </c>
      <c r="D305" t="str">
        <f>_xlfn.XLOOKUP(TBL_USUARIOS[[#This Row],[ID_MASSA]],tbl_de_massas[id_massa],tbl_de_massas[nome_completo],"--",0,1)</f>
        <v>Chloe Dubasois</v>
      </c>
      <c r="E305" t="str">
        <f>_xlfn.XLOOKUP(TBL_USUARIOS[[#This Row],[ID_MASSA]],tbl_de_massas[id_massa],tbl_de_massas[cartao_fisico_numero],"--",0,1)</f>
        <v>3782 228417 7414</v>
      </c>
      <c r="F305" t="str">
        <f>_xlfn.XLOOKUP(TBL_USUARIOS[[#This Row],[ID_MASSA]],tbl_de_massas[id_massa],tbl_de_massas[cartao_fisico_cvv],"--",0,1)</f>
        <v>8821</v>
      </c>
      <c r="G305" t="str">
        <f>_xlfn.XLOOKUP(TBL_USUARIOS[[#This Row],[ID_MASSA]],tbl_de_massas[id_massa],tbl_de_massas[cartao_virtual_numero],"--",0,1)</f>
        <v>3782 672811 2835</v>
      </c>
      <c r="H305" t="str">
        <f>_xlfn.XLOOKUP(TBL_USUARIOS[[#This Row],[ID_MASSA]],tbl_de_massas[id_massa],tbl_de_massas[cartao_virtual_cvv],"--",0,1)</f>
        <v>8821</v>
      </c>
    </row>
    <row r="306" spans="1:8" x14ac:dyDescent="0.25">
      <c r="A306" s="2" t="s">
        <v>2717</v>
      </c>
      <c r="B306" s="14" t="str">
        <f>_xlfn.XLOOKUP(TBL_USUARIOS[[#This Row],[ID_MASSA]],tbl_de_massas[id_massa],tbl_de_massas[cpf],"--",0,1)</f>
        <v>38120843410</v>
      </c>
      <c r="C306" t="s">
        <v>2803</v>
      </c>
      <c r="D306" t="str">
        <f>_xlfn.XLOOKUP(TBL_USUARIOS[[#This Row],[ID_MASSA]],tbl_de_massas[id_massa],tbl_de_massas[nome_completo],"--",0,1)</f>
        <v>Lukas Schqwneider</v>
      </c>
      <c r="E306" t="str">
        <f>_xlfn.XLOOKUP(TBL_USUARIOS[[#This Row],[ID_MASSA]],tbl_de_massas[id_massa],tbl_de_massas[cartao_fisico_numero],"--",0,1)</f>
        <v>6505 0666 2524 1753</v>
      </c>
      <c r="F306" t="str">
        <f>_xlfn.XLOOKUP(TBL_USUARIOS[[#This Row],[ID_MASSA]],tbl_de_massas[id_massa],tbl_de_massas[cartao_fisico_cvv],"--",0,1)</f>
        <v>333</v>
      </c>
      <c r="G306" t="str">
        <f>_xlfn.XLOOKUP(TBL_USUARIOS[[#This Row],[ID_MASSA]],tbl_de_massas[id_massa],tbl_de_massas[cartao_virtual_numero],"--",0,1)</f>
        <v>6505 0666 8170 6038</v>
      </c>
      <c r="H306" t="str">
        <f>_xlfn.XLOOKUP(TBL_USUARIOS[[#This Row],[ID_MASSA]],tbl_de_massas[id_massa],tbl_de_massas[cartao_virtual_cvv],"--",0,1)</f>
        <v>333</v>
      </c>
    </row>
    <row r="307" spans="1:8" x14ac:dyDescent="0.25">
      <c r="A307" s="2" t="s">
        <v>2722</v>
      </c>
      <c r="B307" s="14" t="str">
        <f>_xlfn.XLOOKUP(TBL_USUARIOS[[#This Row],[ID_MASSA]],tbl_de_massas[id_massa],tbl_de_massas[cpf],"--",0,1)</f>
        <v>98922242647</v>
      </c>
      <c r="C307" t="s">
        <v>2804</v>
      </c>
      <c r="D307" t="str">
        <f>_xlfn.XLOOKUP(TBL_USUARIOS[[#This Row],[ID_MASSA]],tbl_de_massas[id_massa],tbl_de_massas[nome_completo],"--",0,1)</f>
        <v>Chloe Duqwbois</v>
      </c>
      <c r="E307" t="str">
        <f>_xlfn.XLOOKUP(TBL_USUARIOS[[#This Row],[ID_MASSA]],tbl_de_massas[id_massa],tbl_de_massas[cartao_fisico_numero],"--",0,1)</f>
        <v>5442 7460 3711 6304</v>
      </c>
      <c r="F307" t="str">
        <f>_xlfn.XLOOKUP(TBL_USUARIOS[[#This Row],[ID_MASSA]],tbl_de_massas[id_massa],tbl_de_massas[cartao_fisico_cvv],"--",0,1)</f>
        <v>333</v>
      </c>
      <c r="G307" t="str">
        <f>_xlfn.XLOOKUP(TBL_USUARIOS[[#This Row],[ID_MASSA]],tbl_de_massas[id_massa],tbl_de_massas[cartao_virtual_numero],"--",0,1)</f>
        <v/>
      </c>
      <c r="H307">
        <f>_xlfn.XLOOKUP(TBL_USUARIOS[[#This Row],[ID_MASSA]],tbl_de_massas[id_massa],tbl_de_massas[cartao_virtual_cvv],"--",0,1)</f>
        <v>0</v>
      </c>
    </row>
    <row r="308" spans="1:8" x14ac:dyDescent="0.25">
      <c r="A308" s="2" t="s">
        <v>2805</v>
      </c>
      <c r="B308" s="14" t="str">
        <f>_xlfn.XLOOKUP(TBL_USUARIOS[[#This Row],[ID_MASSA]],tbl_de_massas[id_massa],tbl_de_massas[cpf],"--",0,1)</f>
        <v>70272563633</v>
      </c>
      <c r="C308" t="s">
        <v>2806</v>
      </c>
      <c r="D308" t="str">
        <f>_xlfn.XLOOKUP(TBL_USUARIOS[[#This Row],[ID_MASSA]],tbl_de_massas[id_massa],tbl_de_massas[nome_completo],"--",0,1)</f>
        <v>Jiwoo Paruik</v>
      </c>
      <c r="E308" t="str">
        <f>_xlfn.XLOOKUP(TBL_USUARIOS[[#This Row],[ID_MASSA]],tbl_de_massas[id_massa],tbl_de_massas[cartao_fisico_numero],"--",0,1)</f>
        <v>3782 325188 2065</v>
      </c>
      <c r="F308" t="str">
        <f>_xlfn.XLOOKUP(TBL_USUARIOS[[#This Row],[ID_MASSA]],tbl_de_massas[id_massa],tbl_de_massas[cartao_fisico_cvv],"--",0,1)</f>
        <v>8821</v>
      </c>
      <c r="G308" t="str">
        <f>_xlfn.XLOOKUP(TBL_USUARIOS[[#This Row],[ID_MASSA]],tbl_de_massas[id_massa],tbl_de_massas[cartao_virtual_numero],"--",0,1)</f>
        <v>3782 686040 7451</v>
      </c>
      <c r="H308" t="str">
        <f>_xlfn.XLOOKUP(TBL_USUARIOS[[#This Row],[ID_MASSA]],tbl_de_massas[id_massa],tbl_de_massas[cartao_virtual_cvv],"--",0,1)</f>
        <v>8821</v>
      </c>
    </row>
    <row r="309" spans="1:8" x14ac:dyDescent="0.25">
      <c r="A309" s="2" t="s">
        <v>2807</v>
      </c>
      <c r="B309" s="14" t="str">
        <f>_xlfn.XLOOKUP(TBL_USUARIOS[[#This Row],[ID_MASSA]],tbl_de_massas[id_massa],tbl_de_massas[cpf],"--",0,1)</f>
        <v>60083980768</v>
      </c>
      <c r="C309" t="s">
        <v>2808</v>
      </c>
      <c r="D309" t="str">
        <f>_xlfn.XLOOKUP(TBL_USUARIOS[[#This Row],[ID_MASSA]],tbl_de_massas[id_massa],tbl_de_massas[nome_completo],"--",0,1)</f>
        <v>Kuihalid Al-Zahrani</v>
      </c>
      <c r="E309" t="str">
        <f>_xlfn.XLOOKUP(TBL_USUARIOS[[#This Row],[ID_MASSA]],tbl_de_massas[id_massa],tbl_de_massas[cartao_fisico_numero],"--",0,1)</f>
        <v>4576 7460 6654 3213</v>
      </c>
      <c r="F309" t="str">
        <f>_xlfn.XLOOKUP(TBL_USUARIOS[[#This Row],[ID_MASSA]],tbl_de_massas[id_massa],tbl_de_massas[cartao_fisico_cvv],"--",0,1)</f>
        <v>333</v>
      </c>
      <c r="G309" t="str">
        <f>_xlfn.XLOOKUP(TBL_USUARIOS[[#This Row],[ID_MASSA]],tbl_de_massas[id_massa],tbl_de_massas[cartao_virtual_numero],"--",0,1)</f>
        <v/>
      </c>
      <c r="H309">
        <f>_xlfn.XLOOKUP(TBL_USUARIOS[[#This Row],[ID_MASSA]],tbl_de_massas[id_massa],tbl_de_massas[cartao_virtual_cvv],"--",0,1)</f>
        <v>0</v>
      </c>
    </row>
    <row r="310" spans="1:8" x14ac:dyDescent="0.25">
      <c r="A310" s="2" t="s">
        <v>2809</v>
      </c>
      <c r="B310" s="14" t="str">
        <f>_xlfn.XLOOKUP(TBL_USUARIOS[[#This Row],[ID_MASSA]],tbl_de_massas[id_massa],tbl_de_massas[cpf],"--",0,1)</f>
        <v>17867091041</v>
      </c>
      <c r="C310" t="s">
        <v>2810</v>
      </c>
      <c r="D310" t="str">
        <f>_xlfn.XLOOKUP(TBL_USUARIOS[[#This Row],[ID_MASSA]],tbl_de_massas[id_massa],tbl_de_massas[nome_completo],"--",0,1)</f>
        <v>Kenji Suiato</v>
      </c>
      <c r="E310" t="str">
        <f>_xlfn.XLOOKUP(TBL_USUARIOS[[#This Row],[ID_MASSA]],tbl_de_massas[id_massa],tbl_de_massas[cartao_fisico_numero],"--",0,1)</f>
        <v>6505 0666 3050 6750</v>
      </c>
      <c r="F310" t="str">
        <f>_xlfn.XLOOKUP(TBL_USUARIOS[[#This Row],[ID_MASSA]],tbl_de_massas[id_massa],tbl_de_massas[cartao_fisico_cvv],"--",0,1)</f>
        <v>333</v>
      </c>
      <c r="G310" t="str">
        <f>_xlfn.XLOOKUP(TBL_USUARIOS[[#This Row],[ID_MASSA]],tbl_de_massas[id_massa],tbl_de_massas[cartao_virtual_numero],"--",0,1)</f>
        <v/>
      </c>
      <c r="H310">
        <f>_xlfn.XLOOKUP(TBL_USUARIOS[[#This Row],[ID_MASSA]],tbl_de_massas[id_massa],tbl_de_massas[cartao_virtual_cvv],"--",0,1)</f>
        <v>0</v>
      </c>
    </row>
    <row r="311" spans="1:8" x14ac:dyDescent="0.25">
      <c r="A311" s="2" t="s">
        <v>2811</v>
      </c>
      <c r="B311" s="14" t="str">
        <f>_xlfn.XLOOKUP(TBL_USUARIOS[[#This Row],[ID_MASSA]],tbl_de_massas[id_massa],tbl_de_massas[cpf],"--",0,1)</f>
        <v>35711606492</v>
      </c>
      <c r="C311" t="s">
        <v>2812</v>
      </c>
      <c r="D311" t="str">
        <f>_xlfn.XLOOKUP(TBL_USUARIOS[[#This Row],[ID_MASSA]],tbl_de_massas[id_massa],tbl_de_massas[nome_completo],"--",0,1)</f>
        <v>William Robert Muiller</v>
      </c>
      <c r="E311" t="str">
        <f>_xlfn.XLOOKUP(TBL_USUARIOS[[#This Row],[ID_MASSA]],tbl_de_massas[id_massa],tbl_de_massas[cartao_fisico_numero],"--",0,1)</f>
        <v/>
      </c>
      <c r="F311">
        <f>_xlfn.XLOOKUP(TBL_USUARIOS[[#This Row],[ID_MASSA]],tbl_de_massas[id_massa],tbl_de_massas[cartao_fisico_cvv],"--",0,1)</f>
        <v>0</v>
      </c>
      <c r="G311" t="str">
        <f>_xlfn.XLOOKUP(TBL_USUARIOS[[#This Row],[ID_MASSA]],tbl_de_massas[id_massa],tbl_de_massas[cartao_virtual_numero],"--",0,1)</f>
        <v>3782 969505 8372</v>
      </c>
      <c r="H311" t="str">
        <f>_xlfn.XLOOKUP(TBL_USUARIOS[[#This Row],[ID_MASSA]],tbl_de_massas[id_massa],tbl_de_massas[cartao_virtual_cvv],"--",0,1)</f>
        <v>8821</v>
      </c>
    </row>
    <row r="312" spans="1:8" x14ac:dyDescent="0.25">
      <c r="A312" s="2" t="s">
        <v>2813</v>
      </c>
      <c r="B312" s="14" t="str">
        <f>_xlfn.XLOOKUP(TBL_USUARIOS[[#This Row],[ID_MASSA]],tbl_de_massas[id_massa],tbl_de_massas[cpf],"--",0,1)</f>
        <v>29033722682</v>
      </c>
      <c r="C312" t="s">
        <v>2814</v>
      </c>
      <c r="D312" t="str">
        <f>_xlfn.XLOOKUP(TBL_USUARIOS[[#This Row],[ID_MASSA]],tbl_de_massas[id_massa],tbl_de_massas[nome_completo],"--",0,1)</f>
        <v>Mauximilian Mueller</v>
      </c>
      <c r="E312" t="str">
        <f>_xlfn.XLOOKUP(TBL_USUARIOS[[#This Row],[ID_MASSA]],tbl_de_massas[id_massa],tbl_de_massas[cartao_fisico_numero],"--",0,1)</f>
        <v>3782 369765 8397</v>
      </c>
      <c r="F312" t="str">
        <f>_xlfn.XLOOKUP(TBL_USUARIOS[[#This Row],[ID_MASSA]],tbl_de_massas[id_massa],tbl_de_massas[cartao_fisico_cvv],"--",0,1)</f>
        <v>8821</v>
      </c>
      <c r="G312" t="str">
        <f>_xlfn.XLOOKUP(TBL_USUARIOS[[#This Row],[ID_MASSA]],tbl_de_massas[id_massa],tbl_de_massas[cartao_virtual_numero],"--",0,1)</f>
        <v>3782 725972 4287</v>
      </c>
      <c r="H312" t="str">
        <f>_xlfn.XLOOKUP(TBL_USUARIOS[[#This Row],[ID_MASSA]],tbl_de_massas[id_massa],tbl_de_massas[cartao_virtual_cvv],"--",0,1)</f>
        <v>8821</v>
      </c>
    </row>
    <row r="313" spans="1:8" x14ac:dyDescent="0.25">
      <c r="A313" s="2" t="s">
        <v>2815</v>
      </c>
      <c r="B313" s="14" t="str">
        <f>_xlfn.XLOOKUP(TBL_USUARIOS[[#This Row],[ID_MASSA]],tbl_de_massas[id_massa],tbl_de_massas[cpf],"--",0,1)</f>
        <v>13586297653</v>
      </c>
      <c r="C313" t="s">
        <v>2816</v>
      </c>
      <c r="D313" t="str">
        <f>_xlfn.XLOOKUP(TBL_USUARIOS[[#This Row],[ID_MASSA]],tbl_de_massas[id_massa],tbl_de_massas[nome_completo],"--",0,1)</f>
        <v>Mauriana Costa Silva</v>
      </c>
      <c r="E313" t="str">
        <f>_xlfn.XLOOKUP(TBL_USUARIOS[[#This Row],[ID_MASSA]],tbl_de_massas[id_massa],tbl_de_massas[cartao_fisico_numero],"--",0,1)</f>
        <v/>
      </c>
      <c r="F313">
        <f>_xlfn.XLOOKUP(TBL_USUARIOS[[#This Row],[ID_MASSA]],tbl_de_massas[id_massa],tbl_de_massas[cartao_fisico_cvv],"--",0,1)</f>
        <v>0</v>
      </c>
      <c r="G313" t="str">
        <f>_xlfn.XLOOKUP(TBL_USUARIOS[[#This Row],[ID_MASSA]],tbl_de_massas[id_massa],tbl_de_massas[cartao_virtual_numero],"--",0,1)</f>
        <v>6505 0666 8495 1540</v>
      </c>
      <c r="H313" t="str">
        <f>_xlfn.XLOOKUP(TBL_USUARIOS[[#This Row],[ID_MASSA]],tbl_de_massas[id_massa],tbl_de_massas[cartao_virtual_cvv],"--",0,1)</f>
        <v>333</v>
      </c>
    </row>
    <row r="314" spans="1:8" x14ac:dyDescent="0.25">
      <c r="A314" s="2" t="s">
        <v>2817</v>
      </c>
      <c r="B314" s="14" t="str">
        <f>_xlfn.XLOOKUP(TBL_USUARIOS[[#This Row],[ID_MASSA]],tbl_de_massas[id_massa],tbl_de_massas[cpf],"--",0,1)</f>
        <v>99872369100</v>
      </c>
      <c r="C314" t="s">
        <v>2818</v>
      </c>
      <c r="D314" t="str">
        <f>_xlfn.XLOOKUP(TBL_USUARIOS[[#This Row],[ID_MASSA]],tbl_de_massas[id_massa],tbl_de_massas[nome_completo],"--",0,1)</f>
        <v>Gabriel Vinicius Souuza</v>
      </c>
      <c r="E314" t="str">
        <f>_xlfn.XLOOKUP(TBL_USUARIOS[[#This Row],[ID_MASSA]],tbl_de_massas[id_massa],tbl_de_massas[cartao_fisico_numero],"--",0,1)</f>
        <v>4576 7460 5475 9569</v>
      </c>
      <c r="F314" t="str">
        <f>_xlfn.XLOOKUP(TBL_USUARIOS[[#This Row],[ID_MASSA]],tbl_de_massas[id_massa],tbl_de_massas[cartao_fisico_cvv],"--",0,1)</f>
        <v>333</v>
      </c>
      <c r="G314" t="str">
        <f>_xlfn.XLOOKUP(TBL_USUARIOS[[#This Row],[ID_MASSA]],tbl_de_massas[id_massa],tbl_de_massas[cartao_virtual_numero],"--",0,1)</f>
        <v/>
      </c>
      <c r="H314">
        <f>_xlfn.XLOOKUP(TBL_USUARIOS[[#This Row],[ID_MASSA]],tbl_de_massas[id_massa],tbl_de_massas[cartao_virtual_cvv],"--",0,1)</f>
        <v>0</v>
      </c>
    </row>
    <row r="315" spans="1:8" x14ac:dyDescent="0.25">
      <c r="A315" s="2" t="s">
        <v>2819</v>
      </c>
      <c r="B315" s="14" t="str">
        <f>_xlfn.XLOOKUP(TBL_USUARIOS[[#This Row],[ID_MASSA]],tbl_de_massas[id_massa],tbl_de_massas[cpf],"--",0,1)</f>
        <v>30493526048</v>
      </c>
      <c r="C315" t="s">
        <v>2820</v>
      </c>
      <c r="D315" t="str">
        <f>_xlfn.XLOOKUP(TBL_USUARIOS[[#This Row],[ID_MASSA]],tbl_de_massas[id_massa],tbl_de_massas[nome_completo],"--",0,1)</f>
        <v>Ines Oliuveira</v>
      </c>
      <c r="E315" t="str">
        <f>_xlfn.XLOOKUP(TBL_USUARIOS[[#This Row],[ID_MASSA]],tbl_de_massas[id_massa],tbl_de_massas[cartao_fisico_numero],"--",0,1)</f>
        <v>6505 0666 1412 1323</v>
      </c>
      <c r="F315" t="str">
        <f>_xlfn.XLOOKUP(TBL_USUARIOS[[#This Row],[ID_MASSA]],tbl_de_massas[id_massa],tbl_de_massas[cartao_fisico_cvv],"--",0,1)</f>
        <v>333</v>
      </c>
      <c r="G315" t="str">
        <f>_xlfn.XLOOKUP(TBL_USUARIOS[[#This Row],[ID_MASSA]],tbl_de_massas[id_massa],tbl_de_massas[cartao_virtual_numero],"--",0,1)</f>
        <v/>
      </c>
      <c r="H315">
        <f>_xlfn.XLOOKUP(TBL_USUARIOS[[#This Row],[ID_MASSA]],tbl_de_massas[id_massa],tbl_de_massas[cartao_virtual_cvv],"--",0,1)</f>
        <v>0</v>
      </c>
    </row>
  </sheetData>
  <phoneticPr fontId="7" type="noConversion"/>
  <conditionalFormatting sqref="A1:H1">
    <cfRule type="duplicateValues" dxfId="4" priority="1"/>
  </conditionalFormatting>
  <conditionalFormatting sqref="F1:H1">
    <cfRule type="duplicateValues" dxfId="3" priority="2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F398E-E5D2-46C5-B02B-AC4455560A21}">
  <dimension ref="A1:F2"/>
  <sheetViews>
    <sheetView zoomScale="190" zoomScaleNormal="190" workbookViewId="0">
      <selection activeCell="C2" sqref="C2"/>
    </sheetView>
  </sheetViews>
  <sheetFormatPr defaultRowHeight="15.75" x14ac:dyDescent="0.25"/>
  <cols>
    <col min="1" max="1" width="12.875" bestFit="1" customWidth="1"/>
    <col min="2" max="2" width="11.875" bestFit="1" customWidth="1"/>
    <col min="3" max="3" width="13" bestFit="1" customWidth="1"/>
    <col min="4" max="4" width="23.25" bestFit="1" customWidth="1"/>
    <col min="5" max="5" width="18.875" bestFit="1" customWidth="1"/>
    <col min="6" max="6" width="9.125" bestFit="1" customWidth="1"/>
  </cols>
  <sheetData>
    <row r="1" spans="1:6" x14ac:dyDescent="0.25">
      <c r="A1" s="6" t="s">
        <v>2254</v>
      </c>
      <c r="B1" s="7" t="s">
        <v>5</v>
      </c>
      <c r="C1" s="8" t="s">
        <v>33</v>
      </c>
      <c r="D1" s="8" t="s">
        <v>32</v>
      </c>
      <c r="E1" s="8" t="s">
        <v>2255</v>
      </c>
      <c r="F1" s="8" t="s">
        <v>2256</v>
      </c>
    </row>
    <row r="2" spans="1:6" x14ac:dyDescent="0.25">
      <c r="A2" s="4" t="s">
        <v>15</v>
      </c>
      <c r="B2" s="5" t="e">
        <f>_xlfn.XLOOKUP(TBL_PIX[[#This Row],[ID_USUARIO]],#REF!,#REF!,"--",0,1)</f>
        <v>#REF!</v>
      </c>
      <c r="C2" s="5" t="e">
        <f>_xlfn.XLOOKUP(TBL_PIX[[#This Row],[ID_USUARIO]],#REF!,#REF!,"--",0,1)</f>
        <v>#REF!</v>
      </c>
      <c r="D2" s="5" t="e">
        <f>_xlfn.XLOOKUP(TBL_PIX[[#This Row],[ID_USUARIO]],#REF!,#REF!,"--",0,1)</f>
        <v>#REF!</v>
      </c>
      <c r="E2" s="5" t="e">
        <f>_xlfn.XLOOKUP(TBL_PIX[[#This Row],[EMAIL]],#REF!,#REF!,"--",0,1)</f>
        <v>#REF!</v>
      </c>
      <c r="F2" s="9">
        <v>15</v>
      </c>
    </row>
  </sheetData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4F781-78D1-43C2-8D57-8915094D15CD}">
  <dimension ref="A1:F11"/>
  <sheetViews>
    <sheetView zoomScale="140" zoomScaleNormal="140" workbookViewId="0">
      <selection activeCell="B6" sqref="B5:B6"/>
    </sheetView>
  </sheetViews>
  <sheetFormatPr defaultRowHeight="15.75" x14ac:dyDescent="0.25"/>
  <cols>
    <col min="1" max="1" width="13.125" bestFit="1" customWidth="1"/>
    <col min="2" max="2" width="13.375" bestFit="1" customWidth="1"/>
    <col min="3" max="3" width="11.625" style="2" bestFit="1" customWidth="1"/>
    <col min="4" max="4" width="18.75" bestFit="1" customWidth="1"/>
    <col min="5" max="5" width="8.625" bestFit="1" customWidth="1"/>
    <col min="6" max="6" width="14.625" bestFit="1" customWidth="1"/>
  </cols>
  <sheetData>
    <row r="1" spans="1:6" s="11" customFormat="1" ht="53.45" customHeight="1" x14ac:dyDescent="0.25">
      <c r="A1" s="10" t="s">
        <v>1</v>
      </c>
      <c r="B1" s="12" t="s">
        <v>4</v>
      </c>
      <c r="C1" s="11" t="s">
        <v>5</v>
      </c>
      <c r="D1" s="13" t="s">
        <v>2257</v>
      </c>
      <c r="E1" s="13" t="s">
        <v>2258</v>
      </c>
      <c r="F1" s="13" t="s">
        <v>2259</v>
      </c>
    </row>
    <row r="2" spans="1:6" x14ac:dyDescent="0.25">
      <c r="A2" t="s">
        <v>7</v>
      </c>
      <c r="B2" s="2" t="s">
        <v>21</v>
      </c>
      <c r="C2" s="3" t="e" cm="1">
        <f t="array" ref="C2">_xlfn.XLOOKUP(TBL_USUARIOS_SECUNDARIOS[[#This Row],[ID_MASSA]]&amp;"",#REF!&amp;"",#REF!&amp;"","--",0,1)</f>
        <v>#REF!</v>
      </c>
      <c r="D2" t="s">
        <v>2260</v>
      </c>
    </row>
    <row r="3" spans="1:6" x14ac:dyDescent="0.25">
      <c r="A3" t="s">
        <v>13</v>
      </c>
      <c r="B3" s="2" t="s">
        <v>24</v>
      </c>
      <c r="C3" s="3" t="e" cm="1">
        <f t="array" ref="C3">_xlfn.XLOOKUP(TBL_USUARIOS_SECUNDARIOS[[#This Row],[ID_MASSA]]&amp;"",#REF!&amp;"",#REF!&amp;"","--",0,1)</f>
        <v>#REF!</v>
      </c>
      <c r="D3" t="s">
        <v>2260</v>
      </c>
    </row>
    <row r="4" spans="1:6" x14ac:dyDescent="0.25">
      <c r="A4" t="s">
        <v>16</v>
      </c>
      <c r="B4" s="2" t="s">
        <v>27</v>
      </c>
      <c r="C4" s="3" t="e" cm="1">
        <f t="array" ref="C4">_xlfn.XLOOKUP(TBL_USUARIOS_SECUNDARIOS[[#This Row],[ID_MASSA]]&amp;"",#REF!&amp;"",#REF!&amp;"","--",0,1)</f>
        <v>#REF!</v>
      </c>
      <c r="D4" t="s">
        <v>2260</v>
      </c>
    </row>
    <row r="5" spans="1:6" x14ac:dyDescent="0.25">
      <c r="A5" t="s">
        <v>19</v>
      </c>
      <c r="B5" s="2" t="s">
        <v>609</v>
      </c>
      <c r="C5" s="3" t="e" cm="1">
        <f t="array" ref="C5">_xlfn.XLOOKUP(TBL_USUARIOS_SECUNDARIOS[[#This Row],[ID_MASSA]]&amp;"",#REF!&amp;"",#REF!&amp;"","--",0,1)</f>
        <v>#REF!</v>
      </c>
      <c r="D5" t="s">
        <v>2260</v>
      </c>
    </row>
    <row r="6" spans="1:6" x14ac:dyDescent="0.25">
      <c r="A6" t="s">
        <v>22</v>
      </c>
      <c r="B6" s="2" t="s">
        <v>610</v>
      </c>
      <c r="C6" s="3" t="e" cm="1">
        <f t="array" ref="C6">_xlfn.XLOOKUP(TBL_USUARIOS_SECUNDARIOS[[#This Row],[ID_MASSA]]&amp;"",#REF!&amp;"",#REF!&amp;"","--",0,1)</f>
        <v>#REF!</v>
      </c>
      <c r="D6" t="s">
        <v>2260</v>
      </c>
    </row>
    <row r="7" spans="1:6" x14ac:dyDescent="0.25">
      <c r="A7" t="s">
        <v>25</v>
      </c>
      <c r="B7" s="2" t="s">
        <v>612</v>
      </c>
      <c r="C7" s="3" t="e" cm="1">
        <f t="array" ref="C7">_xlfn.XLOOKUP(TBL_USUARIOS_SECUNDARIOS[[#This Row],[ID_MASSA]]&amp;"",#REF!&amp;"",#REF!&amp;"","--",0,1)</f>
        <v>#REF!</v>
      </c>
      <c r="D7" t="s">
        <v>2260</v>
      </c>
    </row>
    <row r="8" spans="1:6" x14ac:dyDescent="0.25">
      <c r="A8" t="s">
        <v>28</v>
      </c>
      <c r="B8" s="2" t="s">
        <v>614</v>
      </c>
      <c r="C8" s="3" t="e" cm="1">
        <f t="array" ref="C8">_xlfn.XLOOKUP(TBL_USUARIOS_SECUNDARIOS[[#This Row],[ID_MASSA]]&amp;"",#REF!&amp;"",#REF!&amp;"","--",0,1)</f>
        <v>#REF!</v>
      </c>
      <c r="D8" t="s">
        <v>2260</v>
      </c>
    </row>
    <row r="9" spans="1:6" x14ac:dyDescent="0.25">
      <c r="A9" t="s">
        <v>2129</v>
      </c>
      <c r="B9" s="2" t="s">
        <v>18</v>
      </c>
      <c r="C9" s="3" t="e" cm="1">
        <f t="array" ref="C9">_xlfn.XLOOKUP(TBL_USUARIOS_SECUNDARIOS[[#This Row],[ID_MASSA]]&amp;"",#REF!&amp;"",#REF!&amp;"","--",0,1)</f>
        <v>#REF!</v>
      </c>
      <c r="D9" t="s">
        <v>2260</v>
      </c>
    </row>
    <row r="10" spans="1:6" x14ac:dyDescent="0.25">
      <c r="A10" t="s">
        <v>2344</v>
      </c>
      <c r="B10" t="s">
        <v>18</v>
      </c>
      <c r="C10" t="s">
        <v>179</v>
      </c>
      <c r="D10" t="s">
        <v>2260</v>
      </c>
    </row>
    <row r="11" spans="1:6" x14ac:dyDescent="0.25">
      <c r="A11" t="s">
        <v>2347</v>
      </c>
      <c r="B11" t="s">
        <v>18</v>
      </c>
      <c r="C11" t="s">
        <v>179</v>
      </c>
      <c r="D11" t="s">
        <v>2260</v>
      </c>
    </row>
  </sheetData>
  <phoneticPr fontId="7" type="noConversion"/>
  <conditionalFormatting sqref="D1:F1">
    <cfRule type="duplicateValues" dxfId="2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7"/>
  <sheetViews>
    <sheetView workbookViewId="0">
      <selection activeCell="D17" sqref="D17"/>
    </sheetView>
  </sheetViews>
  <sheetFormatPr defaultRowHeight="15.75" x14ac:dyDescent="0.25"/>
  <cols>
    <col min="1" max="1" width="9.25" bestFit="1" customWidth="1"/>
    <col min="2" max="2" width="18.5" bestFit="1" customWidth="1"/>
    <col min="3" max="3" width="18.125" bestFit="1" customWidth="1"/>
    <col min="4" max="4" width="29.75" bestFit="1" customWidth="1"/>
    <col min="6" max="6" width="11.875" bestFit="1" customWidth="1"/>
    <col min="7" max="7" width="13" bestFit="1" customWidth="1"/>
    <col min="8" max="8" width="8.875" bestFit="1" customWidth="1"/>
    <col min="9" max="9" width="20.375" bestFit="1" customWidth="1"/>
    <col min="10" max="10" width="8.375" bestFit="1" customWidth="1"/>
    <col min="11" max="11" width="18.625" bestFit="1" customWidth="1"/>
    <col min="12" max="12" width="24.875" bestFit="1" customWidth="1"/>
    <col min="13" max="13" width="7.5" bestFit="1" customWidth="1"/>
    <col min="14" max="14" width="5.5" bestFit="1" customWidth="1"/>
    <col min="15" max="15" width="17.5" bestFit="1" customWidth="1"/>
    <col min="16" max="16" width="17.375" bestFit="1" customWidth="1"/>
    <col min="17" max="17" width="12.125" bestFit="1" customWidth="1"/>
    <col min="18" max="18" width="15.875" bestFit="1" customWidth="1"/>
    <col min="19" max="19" width="22.375" bestFit="1" customWidth="1"/>
    <col min="20" max="20" width="13.375" bestFit="1" customWidth="1"/>
    <col min="21" max="21" width="11.875" bestFit="1" customWidth="1"/>
    <col min="22" max="22" width="12.375" bestFit="1" customWidth="1"/>
    <col min="23" max="23" width="10.5" bestFit="1" customWidth="1"/>
  </cols>
  <sheetData>
    <row r="1" spans="1:23" x14ac:dyDescent="0.25">
      <c r="A1" t="s">
        <v>4</v>
      </c>
      <c r="B1" t="s">
        <v>30</v>
      </c>
      <c r="C1" t="s">
        <v>31</v>
      </c>
      <c r="D1" t="s">
        <v>32</v>
      </c>
      <c r="E1" t="s">
        <v>6</v>
      </c>
      <c r="F1" t="s">
        <v>5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</row>
    <row r="2" spans="1:23" x14ac:dyDescent="0.25">
      <c r="A2" t="s">
        <v>50</v>
      </c>
      <c r="B2" t="s">
        <v>51</v>
      </c>
      <c r="C2" t="s">
        <v>52</v>
      </c>
      <c r="D2" t="s">
        <v>53</v>
      </c>
      <c r="E2" t="s">
        <v>12</v>
      </c>
      <c r="F2" t="s">
        <v>11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  <c r="N2" t="s">
        <v>61</v>
      </c>
      <c r="O2" t="s">
        <v>62</v>
      </c>
      <c r="P2" t="s">
        <v>63</v>
      </c>
      <c r="Q2" t="s">
        <v>64</v>
      </c>
      <c r="R2">
        <v>10</v>
      </c>
      <c r="S2" t="s">
        <v>65</v>
      </c>
      <c r="T2" t="s">
        <v>66</v>
      </c>
      <c r="U2" t="s">
        <v>11</v>
      </c>
      <c r="V2" t="s">
        <v>67</v>
      </c>
      <c r="W2" t="s">
        <v>67</v>
      </c>
    </row>
    <row r="3" spans="1:23" x14ac:dyDescent="0.25">
      <c r="A3" t="s">
        <v>68</v>
      </c>
      <c r="B3" t="s">
        <v>69</v>
      </c>
      <c r="C3" t="s">
        <v>70</v>
      </c>
      <c r="D3" t="s">
        <v>71</v>
      </c>
      <c r="E3" t="s">
        <v>12</v>
      </c>
      <c r="F3" t="s">
        <v>72</v>
      </c>
      <c r="G3" t="s">
        <v>73</v>
      </c>
      <c r="H3" t="s">
        <v>74</v>
      </c>
      <c r="I3" t="s">
        <v>75</v>
      </c>
      <c r="J3" t="s">
        <v>76</v>
      </c>
      <c r="K3" t="s">
        <v>77</v>
      </c>
      <c r="L3" t="s">
        <v>78</v>
      </c>
      <c r="M3" t="s">
        <v>79</v>
      </c>
      <c r="N3" t="s">
        <v>61</v>
      </c>
      <c r="O3" t="s">
        <v>80</v>
      </c>
      <c r="P3" t="s">
        <v>81</v>
      </c>
      <c r="Q3" t="s">
        <v>82</v>
      </c>
      <c r="R3">
        <v>20</v>
      </c>
      <c r="S3" t="s">
        <v>83</v>
      </c>
      <c r="T3" t="s">
        <v>84</v>
      </c>
      <c r="U3" t="s">
        <v>72</v>
      </c>
      <c r="V3" t="s">
        <v>67</v>
      </c>
      <c r="W3" t="s">
        <v>67</v>
      </c>
    </row>
    <row r="4" spans="1:23" x14ac:dyDescent="0.25">
      <c r="A4" t="s">
        <v>85</v>
      </c>
      <c r="B4" t="s">
        <v>86</v>
      </c>
      <c r="C4" t="s">
        <v>87</v>
      </c>
      <c r="D4" t="s">
        <v>88</v>
      </c>
      <c r="E4" t="s">
        <v>12</v>
      </c>
      <c r="F4" t="s">
        <v>89</v>
      </c>
      <c r="G4" t="s">
        <v>90</v>
      </c>
      <c r="H4" t="s">
        <v>91</v>
      </c>
      <c r="I4" t="s">
        <v>92</v>
      </c>
      <c r="J4" t="s">
        <v>93</v>
      </c>
      <c r="K4" t="s">
        <v>94</v>
      </c>
      <c r="L4" t="s">
        <v>95</v>
      </c>
      <c r="M4" t="s">
        <v>96</v>
      </c>
      <c r="N4" t="s">
        <v>61</v>
      </c>
      <c r="O4" t="s">
        <v>97</v>
      </c>
      <c r="P4" t="s">
        <v>81</v>
      </c>
      <c r="Q4" t="s">
        <v>98</v>
      </c>
      <c r="R4">
        <v>15</v>
      </c>
      <c r="S4" t="s">
        <v>99</v>
      </c>
      <c r="T4" t="s">
        <v>66</v>
      </c>
      <c r="U4" t="s">
        <v>89</v>
      </c>
      <c r="V4" t="s">
        <v>67</v>
      </c>
      <c r="W4" t="s">
        <v>67</v>
      </c>
    </row>
    <row r="5" spans="1:23" x14ac:dyDescent="0.25">
      <c r="A5" t="s">
        <v>100</v>
      </c>
      <c r="B5" t="s">
        <v>101</v>
      </c>
      <c r="C5" t="s">
        <v>102</v>
      </c>
      <c r="D5" t="s">
        <v>103</v>
      </c>
      <c r="E5" t="s">
        <v>12</v>
      </c>
      <c r="F5" t="s">
        <v>104</v>
      </c>
      <c r="G5" t="s">
        <v>105</v>
      </c>
      <c r="H5" t="s">
        <v>106</v>
      </c>
      <c r="I5" t="s">
        <v>107</v>
      </c>
      <c r="J5" t="s">
        <v>108</v>
      </c>
      <c r="K5" t="s">
        <v>109</v>
      </c>
      <c r="L5" t="s">
        <v>110</v>
      </c>
      <c r="M5" t="s">
        <v>111</v>
      </c>
      <c r="N5" t="s">
        <v>61</v>
      </c>
      <c r="O5" t="s">
        <v>112</v>
      </c>
      <c r="P5" t="s">
        <v>113</v>
      </c>
      <c r="Q5" t="s">
        <v>64</v>
      </c>
      <c r="R5">
        <v>20</v>
      </c>
      <c r="S5" t="s">
        <v>114</v>
      </c>
      <c r="T5" t="s">
        <v>84</v>
      </c>
      <c r="U5" t="s">
        <v>104</v>
      </c>
      <c r="V5" t="s">
        <v>67</v>
      </c>
      <c r="W5" t="s">
        <v>67</v>
      </c>
    </row>
    <row r="6" spans="1:23" x14ac:dyDescent="0.25">
      <c r="A6" t="s">
        <v>115</v>
      </c>
      <c r="B6" t="s">
        <v>116</v>
      </c>
      <c r="C6" t="s">
        <v>117</v>
      </c>
      <c r="D6" t="s">
        <v>118</v>
      </c>
      <c r="E6" t="s">
        <v>12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61</v>
      </c>
      <c r="O6" t="s">
        <v>127</v>
      </c>
      <c r="P6" t="s">
        <v>63</v>
      </c>
      <c r="Q6" t="s">
        <v>98</v>
      </c>
      <c r="R6">
        <v>10</v>
      </c>
      <c r="S6" t="s">
        <v>128</v>
      </c>
      <c r="T6" t="s">
        <v>84</v>
      </c>
      <c r="U6" t="s">
        <v>119</v>
      </c>
      <c r="V6" t="s">
        <v>67</v>
      </c>
      <c r="W6" t="s">
        <v>67</v>
      </c>
    </row>
    <row r="7" spans="1:23" x14ac:dyDescent="0.25">
      <c r="A7" t="s">
        <v>129</v>
      </c>
      <c r="B7" t="s">
        <v>130</v>
      </c>
      <c r="C7" t="s">
        <v>131</v>
      </c>
      <c r="D7" t="s">
        <v>132</v>
      </c>
      <c r="E7" t="s">
        <v>12</v>
      </c>
      <c r="F7" t="s">
        <v>133</v>
      </c>
      <c r="G7" t="s">
        <v>134</v>
      </c>
      <c r="H7" t="s">
        <v>135</v>
      </c>
      <c r="I7" t="s">
        <v>136</v>
      </c>
      <c r="J7" t="s">
        <v>137</v>
      </c>
      <c r="K7" t="s">
        <v>138</v>
      </c>
      <c r="L7" t="s">
        <v>139</v>
      </c>
      <c r="M7" t="s">
        <v>140</v>
      </c>
      <c r="N7" t="s">
        <v>61</v>
      </c>
      <c r="O7" t="s">
        <v>141</v>
      </c>
      <c r="P7" t="s">
        <v>142</v>
      </c>
      <c r="Q7" t="s">
        <v>143</v>
      </c>
      <c r="R7">
        <v>15</v>
      </c>
      <c r="S7" t="s">
        <v>144</v>
      </c>
      <c r="T7" t="s">
        <v>84</v>
      </c>
      <c r="U7" t="s">
        <v>133</v>
      </c>
      <c r="V7" t="s">
        <v>67</v>
      </c>
      <c r="W7" t="s">
        <v>67</v>
      </c>
    </row>
    <row r="8" spans="1:23" x14ac:dyDescent="0.25">
      <c r="A8" t="s">
        <v>145</v>
      </c>
      <c r="B8" t="s">
        <v>146</v>
      </c>
      <c r="C8" t="s">
        <v>147</v>
      </c>
      <c r="D8" t="s">
        <v>148</v>
      </c>
      <c r="E8" t="s">
        <v>12</v>
      </c>
      <c r="F8" t="s">
        <v>149</v>
      </c>
      <c r="G8" t="s">
        <v>150</v>
      </c>
      <c r="H8" t="s">
        <v>151</v>
      </c>
      <c r="I8" t="s">
        <v>152</v>
      </c>
      <c r="J8" t="s">
        <v>153</v>
      </c>
      <c r="K8" t="s">
        <v>154</v>
      </c>
      <c r="L8" t="s">
        <v>155</v>
      </c>
      <c r="M8" t="s">
        <v>156</v>
      </c>
      <c r="N8" t="s">
        <v>61</v>
      </c>
      <c r="O8" t="s">
        <v>157</v>
      </c>
      <c r="P8" t="s">
        <v>142</v>
      </c>
      <c r="Q8" t="s">
        <v>82</v>
      </c>
      <c r="R8">
        <v>25</v>
      </c>
      <c r="S8" t="s">
        <v>158</v>
      </c>
      <c r="T8" t="s">
        <v>159</v>
      </c>
      <c r="U8" t="s">
        <v>149</v>
      </c>
      <c r="V8" t="s">
        <v>67</v>
      </c>
      <c r="W8" t="s">
        <v>67</v>
      </c>
    </row>
    <row r="9" spans="1:23" x14ac:dyDescent="0.25">
      <c r="A9" t="s">
        <v>160</v>
      </c>
      <c r="B9" t="s">
        <v>161</v>
      </c>
      <c r="C9" t="s">
        <v>162</v>
      </c>
      <c r="D9" t="s">
        <v>163</v>
      </c>
      <c r="E9" t="s">
        <v>12</v>
      </c>
      <c r="F9" t="s">
        <v>164</v>
      </c>
      <c r="G9" t="s">
        <v>165</v>
      </c>
      <c r="H9" t="s">
        <v>166</v>
      </c>
      <c r="I9" t="s">
        <v>167</v>
      </c>
      <c r="J9" t="s">
        <v>168</v>
      </c>
      <c r="K9" t="s">
        <v>169</v>
      </c>
      <c r="L9" t="s">
        <v>170</v>
      </c>
      <c r="M9" t="s">
        <v>171</v>
      </c>
      <c r="N9" t="s">
        <v>61</v>
      </c>
      <c r="O9" t="s">
        <v>172</v>
      </c>
      <c r="P9" t="s">
        <v>173</v>
      </c>
      <c r="Q9" t="s">
        <v>82</v>
      </c>
      <c r="R9">
        <v>25</v>
      </c>
      <c r="S9" t="s">
        <v>174</v>
      </c>
      <c r="T9" t="s">
        <v>66</v>
      </c>
      <c r="U9" t="s">
        <v>164</v>
      </c>
      <c r="V9" t="s">
        <v>67</v>
      </c>
      <c r="W9" t="s">
        <v>67</v>
      </c>
    </row>
    <row r="10" spans="1:23" x14ac:dyDescent="0.25">
      <c r="A10" t="s">
        <v>175</v>
      </c>
      <c r="B10" t="s">
        <v>176</v>
      </c>
      <c r="C10" t="s">
        <v>177</v>
      </c>
      <c r="D10" t="s">
        <v>178</v>
      </c>
      <c r="E10" t="s">
        <v>12</v>
      </c>
      <c r="F10" t="s">
        <v>179</v>
      </c>
      <c r="G10" t="s">
        <v>180</v>
      </c>
      <c r="H10" t="s">
        <v>181</v>
      </c>
      <c r="I10" t="s">
        <v>182</v>
      </c>
      <c r="J10" t="s">
        <v>183</v>
      </c>
      <c r="K10" t="s">
        <v>184</v>
      </c>
      <c r="L10" t="s">
        <v>185</v>
      </c>
      <c r="M10" t="s">
        <v>186</v>
      </c>
      <c r="N10" t="s">
        <v>61</v>
      </c>
      <c r="O10" t="s">
        <v>187</v>
      </c>
      <c r="P10" t="s">
        <v>81</v>
      </c>
      <c r="Q10" t="s">
        <v>82</v>
      </c>
      <c r="R10">
        <v>25</v>
      </c>
      <c r="S10" t="s">
        <v>188</v>
      </c>
      <c r="T10" t="s">
        <v>84</v>
      </c>
      <c r="U10" t="s">
        <v>179</v>
      </c>
      <c r="V10" t="s">
        <v>67</v>
      </c>
      <c r="W10" t="s">
        <v>67</v>
      </c>
    </row>
    <row r="11" spans="1:23" x14ac:dyDescent="0.25">
      <c r="A11" t="s">
        <v>189</v>
      </c>
      <c r="B11" t="s">
        <v>190</v>
      </c>
      <c r="C11" t="s">
        <v>191</v>
      </c>
      <c r="D11" t="s">
        <v>192</v>
      </c>
      <c r="E11" t="s">
        <v>12</v>
      </c>
      <c r="F11" t="s">
        <v>193</v>
      </c>
      <c r="G11" t="s">
        <v>194</v>
      </c>
      <c r="H11" t="s">
        <v>195</v>
      </c>
      <c r="I11" t="s">
        <v>196</v>
      </c>
      <c r="J11" t="s">
        <v>197</v>
      </c>
      <c r="K11" t="s">
        <v>138</v>
      </c>
      <c r="L11" t="s">
        <v>198</v>
      </c>
      <c r="M11" t="s">
        <v>199</v>
      </c>
      <c r="N11" t="s">
        <v>61</v>
      </c>
      <c r="O11" t="s">
        <v>200</v>
      </c>
      <c r="P11" t="s">
        <v>63</v>
      </c>
      <c r="Q11" t="s">
        <v>64</v>
      </c>
      <c r="R11">
        <v>25</v>
      </c>
      <c r="S11" t="s">
        <v>201</v>
      </c>
      <c r="T11" t="s">
        <v>84</v>
      </c>
      <c r="U11" t="s">
        <v>193</v>
      </c>
      <c r="V11" t="s">
        <v>67</v>
      </c>
      <c r="W11" t="s">
        <v>67</v>
      </c>
    </row>
    <row r="12" spans="1:23" x14ac:dyDescent="0.25">
      <c r="A12" t="s">
        <v>202</v>
      </c>
      <c r="B12" t="s">
        <v>203</v>
      </c>
      <c r="C12" t="s">
        <v>204</v>
      </c>
      <c r="D12" t="s">
        <v>205</v>
      </c>
      <c r="E12" t="s">
        <v>12</v>
      </c>
      <c r="F12" t="s">
        <v>206</v>
      </c>
      <c r="G12" t="s">
        <v>207</v>
      </c>
      <c r="H12" t="s">
        <v>208</v>
      </c>
      <c r="I12" t="s">
        <v>209</v>
      </c>
      <c r="J12" t="s">
        <v>210</v>
      </c>
      <c r="K12" t="s">
        <v>211</v>
      </c>
      <c r="L12" t="s">
        <v>212</v>
      </c>
      <c r="M12" t="s">
        <v>213</v>
      </c>
      <c r="N12" t="s">
        <v>61</v>
      </c>
      <c r="O12" t="s">
        <v>214</v>
      </c>
      <c r="P12" t="s">
        <v>142</v>
      </c>
      <c r="Q12" t="s">
        <v>82</v>
      </c>
      <c r="R12">
        <v>15</v>
      </c>
      <c r="S12" t="s">
        <v>215</v>
      </c>
      <c r="T12" t="s">
        <v>84</v>
      </c>
      <c r="U12" t="s">
        <v>206</v>
      </c>
      <c r="V12" t="s">
        <v>67</v>
      </c>
      <c r="W12" t="s">
        <v>67</v>
      </c>
    </row>
    <row r="13" spans="1:23" x14ac:dyDescent="0.25">
      <c r="A13" t="s">
        <v>216</v>
      </c>
      <c r="B13" t="s">
        <v>217</v>
      </c>
      <c r="C13" t="s">
        <v>218</v>
      </c>
      <c r="D13" t="s">
        <v>219</v>
      </c>
      <c r="E13" t="s">
        <v>12</v>
      </c>
      <c r="F13" t="s">
        <v>220</v>
      </c>
      <c r="G13" t="s">
        <v>221</v>
      </c>
      <c r="H13" t="s">
        <v>222</v>
      </c>
      <c r="I13" t="s">
        <v>223</v>
      </c>
      <c r="J13" t="s">
        <v>224</v>
      </c>
      <c r="K13" t="s">
        <v>225</v>
      </c>
      <c r="L13" t="s">
        <v>226</v>
      </c>
      <c r="M13" t="s">
        <v>227</v>
      </c>
      <c r="N13" t="s">
        <v>61</v>
      </c>
      <c r="O13" t="s">
        <v>228</v>
      </c>
      <c r="P13" t="s">
        <v>142</v>
      </c>
      <c r="Q13" t="s">
        <v>98</v>
      </c>
      <c r="R13">
        <v>20</v>
      </c>
      <c r="S13" t="s">
        <v>229</v>
      </c>
      <c r="T13" t="s">
        <v>66</v>
      </c>
      <c r="U13" t="s">
        <v>220</v>
      </c>
      <c r="V13" t="s">
        <v>67</v>
      </c>
      <c r="W13" t="s">
        <v>67</v>
      </c>
    </row>
    <row r="14" spans="1:23" x14ac:dyDescent="0.25">
      <c r="A14" t="s">
        <v>230</v>
      </c>
      <c r="B14" t="s">
        <v>231</v>
      </c>
      <c r="C14" t="s">
        <v>232</v>
      </c>
      <c r="D14" t="s">
        <v>233</v>
      </c>
      <c r="E14" t="s">
        <v>12</v>
      </c>
      <c r="F14" t="s">
        <v>234</v>
      </c>
      <c r="G14" t="s">
        <v>235</v>
      </c>
      <c r="H14" t="s">
        <v>236</v>
      </c>
      <c r="I14" t="s">
        <v>237</v>
      </c>
      <c r="J14" t="s">
        <v>238</v>
      </c>
      <c r="K14" t="s">
        <v>239</v>
      </c>
      <c r="L14" t="s">
        <v>240</v>
      </c>
      <c r="M14" t="s">
        <v>241</v>
      </c>
      <c r="N14" t="s">
        <v>61</v>
      </c>
      <c r="O14" t="s">
        <v>242</v>
      </c>
      <c r="P14" t="s">
        <v>113</v>
      </c>
      <c r="Q14" t="s">
        <v>98</v>
      </c>
      <c r="R14">
        <v>25</v>
      </c>
      <c r="S14" t="s">
        <v>243</v>
      </c>
      <c r="T14" t="s">
        <v>84</v>
      </c>
      <c r="U14" t="s">
        <v>234</v>
      </c>
      <c r="V14" t="s">
        <v>67</v>
      </c>
      <c r="W14" t="s">
        <v>67</v>
      </c>
    </row>
    <row r="15" spans="1:23" x14ac:dyDescent="0.25">
      <c r="A15" t="s">
        <v>244</v>
      </c>
      <c r="B15" t="s">
        <v>245</v>
      </c>
      <c r="C15" t="s">
        <v>246</v>
      </c>
      <c r="D15" t="s">
        <v>247</v>
      </c>
      <c r="E15" t="s">
        <v>12</v>
      </c>
      <c r="F15" t="s">
        <v>248</v>
      </c>
      <c r="G15" t="s">
        <v>249</v>
      </c>
      <c r="H15" t="s">
        <v>250</v>
      </c>
      <c r="I15" t="s">
        <v>251</v>
      </c>
      <c r="J15" t="s">
        <v>252</v>
      </c>
      <c r="K15" t="s">
        <v>253</v>
      </c>
      <c r="L15" t="s">
        <v>254</v>
      </c>
      <c r="M15" t="s">
        <v>79</v>
      </c>
      <c r="N15" t="s">
        <v>61</v>
      </c>
      <c r="O15" t="s">
        <v>255</v>
      </c>
      <c r="P15" t="s">
        <v>63</v>
      </c>
      <c r="Q15" t="s">
        <v>143</v>
      </c>
      <c r="R15">
        <v>20</v>
      </c>
      <c r="S15" t="s">
        <v>256</v>
      </c>
      <c r="T15" t="s">
        <v>84</v>
      </c>
      <c r="U15" t="s">
        <v>248</v>
      </c>
      <c r="V15" t="s">
        <v>67</v>
      </c>
      <c r="W15" t="s">
        <v>67</v>
      </c>
    </row>
    <row r="16" spans="1:23" x14ac:dyDescent="0.25">
      <c r="A16" t="s">
        <v>257</v>
      </c>
      <c r="B16" t="s">
        <v>258</v>
      </c>
      <c r="C16" t="s">
        <v>259</v>
      </c>
      <c r="D16" t="s">
        <v>260</v>
      </c>
      <c r="E16" t="s">
        <v>12</v>
      </c>
      <c r="F16" t="s">
        <v>261</v>
      </c>
      <c r="G16" t="s">
        <v>262</v>
      </c>
      <c r="H16" t="s">
        <v>263</v>
      </c>
      <c r="I16" t="s">
        <v>264</v>
      </c>
      <c r="J16" t="s">
        <v>265</v>
      </c>
      <c r="K16" t="s">
        <v>184</v>
      </c>
      <c r="L16" t="s">
        <v>266</v>
      </c>
      <c r="M16" t="s">
        <v>267</v>
      </c>
      <c r="N16" t="s">
        <v>61</v>
      </c>
      <c r="O16" t="s">
        <v>268</v>
      </c>
      <c r="P16" t="s">
        <v>63</v>
      </c>
      <c r="Q16" t="s">
        <v>64</v>
      </c>
      <c r="R16">
        <v>10</v>
      </c>
      <c r="S16" t="s">
        <v>269</v>
      </c>
      <c r="T16" t="s">
        <v>84</v>
      </c>
      <c r="U16" t="s">
        <v>261</v>
      </c>
      <c r="V16" t="s">
        <v>67</v>
      </c>
      <c r="W16" t="s">
        <v>67</v>
      </c>
    </row>
    <row r="17" spans="1:23" x14ac:dyDescent="0.25">
      <c r="A17" t="s">
        <v>270</v>
      </c>
      <c r="B17" t="s">
        <v>271</v>
      </c>
      <c r="C17" t="s">
        <v>272</v>
      </c>
      <c r="D17" t="s">
        <v>273</v>
      </c>
      <c r="E17" t="s">
        <v>12</v>
      </c>
      <c r="F17" t="s">
        <v>274</v>
      </c>
      <c r="G17" t="s">
        <v>275</v>
      </c>
      <c r="H17" t="s">
        <v>276</v>
      </c>
      <c r="I17" t="s">
        <v>277</v>
      </c>
      <c r="J17" t="s">
        <v>278</v>
      </c>
      <c r="K17" t="s">
        <v>279</v>
      </c>
      <c r="L17" t="s">
        <v>280</v>
      </c>
      <c r="M17" t="s">
        <v>171</v>
      </c>
      <c r="N17" t="s">
        <v>61</v>
      </c>
      <c r="O17" t="s">
        <v>281</v>
      </c>
      <c r="P17" t="s">
        <v>113</v>
      </c>
      <c r="Q17" t="s">
        <v>64</v>
      </c>
      <c r="R17">
        <v>20</v>
      </c>
      <c r="S17" t="s">
        <v>282</v>
      </c>
      <c r="T17" t="s">
        <v>66</v>
      </c>
      <c r="U17" t="s">
        <v>274</v>
      </c>
      <c r="V17" t="s">
        <v>67</v>
      </c>
      <c r="W17" t="s">
        <v>67</v>
      </c>
    </row>
    <row r="18" spans="1:23" x14ac:dyDescent="0.25">
      <c r="A18" t="s">
        <v>283</v>
      </c>
      <c r="B18" t="s">
        <v>284</v>
      </c>
      <c r="C18" t="s">
        <v>285</v>
      </c>
      <c r="D18" t="s">
        <v>286</v>
      </c>
      <c r="E18" t="s">
        <v>12</v>
      </c>
      <c r="F18" t="s">
        <v>287</v>
      </c>
      <c r="G18" t="s">
        <v>288</v>
      </c>
      <c r="H18" t="s">
        <v>289</v>
      </c>
      <c r="I18" t="s">
        <v>290</v>
      </c>
      <c r="J18" t="s">
        <v>291</v>
      </c>
      <c r="K18" t="s">
        <v>292</v>
      </c>
      <c r="L18" t="s">
        <v>293</v>
      </c>
      <c r="M18" t="s">
        <v>140</v>
      </c>
      <c r="N18" t="s">
        <v>61</v>
      </c>
      <c r="O18" t="s">
        <v>294</v>
      </c>
      <c r="P18" t="s">
        <v>81</v>
      </c>
      <c r="Q18" t="s">
        <v>64</v>
      </c>
      <c r="R18">
        <v>10</v>
      </c>
      <c r="S18" t="s">
        <v>295</v>
      </c>
      <c r="T18" t="s">
        <v>84</v>
      </c>
      <c r="U18" t="s">
        <v>287</v>
      </c>
      <c r="V18" t="s">
        <v>67</v>
      </c>
      <c r="W18" t="s">
        <v>67</v>
      </c>
    </row>
    <row r="19" spans="1:23" x14ac:dyDescent="0.25">
      <c r="A19" t="s">
        <v>296</v>
      </c>
      <c r="B19" t="s">
        <v>297</v>
      </c>
      <c r="C19" t="s">
        <v>298</v>
      </c>
      <c r="D19" t="s">
        <v>299</v>
      </c>
      <c r="E19" t="s">
        <v>12</v>
      </c>
      <c r="F19" t="s">
        <v>300</v>
      </c>
      <c r="G19" t="s">
        <v>301</v>
      </c>
      <c r="H19" t="s">
        <v>302</v>
      </c>
      <c r="I19" t="s">
        <v>303</v>
      </c>
      <c r="J19" t="s">
        <v>304</v>
      </c>
      <c r="K19" t="s">
        <v>305</v>
      </c>
      <c r="L19" t="s">
        <v>306</v>
      </c>
      <c r="M19" t="s">
        <v>156</v>
      </c>
      <c r="N19" t="s">
        <v>61</v>
      </c>
      <c r="O19" t="s">
        <v>307</v>
      </c>
      <c r="P19" t="s">
        <v>81</v>
      </c>
      <c r="Q19" t="s">
        <v>143</v>
      </c>
      <c r="R19">
        <v>25</v>
      </c>
      <c r="S19" t="s">
        <v>308</v>
      </c>
      <c r="T19" t="s">
        <v>159</v>
      </c>
      <c r="U19" t="s">
        <v>300</v>
      </c>
      <c r="V19" t="s">
        <v>67</v>
      </c>
      <c r="W19" t="s">
        <v>67</v>
      </c>
    </row>
    <row r="20" spans="1:23" x14ac:dyDescent="0.25">
      <c r="A20" t="s">
        <v>309</v>
      </c>
      <c r="B20" t="s">
        <v>310</v>
      </c>
      <c r="C20" t="s">
        <v>311</v>
      </c>
      <c r="D20" t="s">
        <v>312</v>
      </c>
      <c r="E20" t="s">
        <v>12</v>
      </c>
      <c r="F20" t="s">
        <v>313</v>
      </c>
      <c r="G20" t="s">
        <v>314</v>
      </c>
      <c r="H20" t="s">
        <v>315</v>
      </c>
      <c r="I20" t="s">
        <v>316</v>
      </c>
      <c r="J20" t="s">
        <v>317</v>
      </c>
      <c r="K20" t="s">
        <v>318</v>
      </c>
      <c r="L20" t="s">
        <v>319</v>
      </c>
      <c r="M20" t="s">
        <v>320</v>
      </c>
      <c r="N20" t="s">
        <v>61</v>
      </c>
      <c r="O20" t="s">
        <v>321</v>
      </c>
      <c r="P20" t="s">
        <v>81</v>
      </c>
      <c r="Q20" t="s">
        <v>82</v>
      </c>
      <c r="R20">
        <v>15</v>
      </c>
      <c r="S20" t="s">
        <v>322</v>
      </c>
      <c r="T20" t="s">
        <v>159</v>
      </c>
      <c r="U20" t="s">
        <v>313</v>
      </c>
      <c r="V20" t="s">
        <v>67</v>
      </c>
      <c r="W20" t="s">
        <v>67</v>
      </c>
    </row>
    <row r="21" spans="1:23" x14ac:dyDescent="0.25">
      <c r="A21" t="s">
        <v>323</v>
      </c>
      <c r="B21" t="s">
        <v>324</v>
      </c>
      <c r="C21" t="s">
        <v>325</v>
      </c>
      <c r="D21" t="s">
        <v>326</v>
      </c>
      <c r="E21" t="s">
        <v>12</v>
      </c>
      <c r="F21" t="s">
        <v>327</v>
      </c>
      <c r="G21" t="s">
        <v>328</v>
      </c>
      <c r="H21" t="s">
        <v>329</v>
      </c>
      <c r="I21" t="s">
        <v>330</v>
      </c>
      <c r="J21" t="s">
        <v>331</v>
      </c>
      <c r="K21" t="s">
        <v>332</v>
      </c>
      <c r="L21" t="s">
        <v>333</v>
      </c>
      <c r="M21" t="s">
        <v>267</v>
      </c>
      <c r="N21" t="s">
        <v>61</v>
      </c>
      <c r="O21" t="s">
        <v>334</v>
      </c>
      <c r="P21" t="s">
        <v>173</v>
      </c>
      <c r="Q21" t="s">
        <v>82</v>
      </c>
      <c r="R21">
        <v>20</v>
      </c>
      <c r="S21" t="s">
        <v>335</v>
      </c>
      <c r="T21" t="s">
        <v>84</v>
      </c>
      <c r="U21" t="s">
        <v>327</v>
      </c>
      <c r="V21" t="s">
        <v>67</v>
      </c>
      <c r="W21" t="s">
        <v>67</v>
      </c>
    </row>
    <row r="22" spans="1:23" x14ac:dyDescent="0.25">
      <c r="A22" t="s">
        <v>336</v>
      </c>
      <c r="B22" t="s">
        <v>337</v>
      </c>
      <c r="C22" t="s">
        <v>338</v>
      </c>
      <c r="D22" t="s">
        <v>339</v>
      </c>
      <c r="E22" t="s">
        <v>12</v>
      </c>
      <c r="F22" t="s">
        <v>340</v>
      </c>
      <c r="G22" t="s">
        <v>341</v>
      </c>
      <c r="H22" t="s">
        <v>342</v>
      </c>
      <c r="I22" t="s">
        <v>343</v>
      </c>
      <c r="J22" t="s">
        <v>344</v>
      </c>
      <c r="K22" t="s">
        <v>345</v>
      </c>
      <c r="L22" t="s">
        <v>346</v>
      </c>
      <c r="M22" t="s">
        <v>347</v>
      </c>
      <c r="N22" t="s">
        <v>61</v>
      </c>
      <c r="O22" t="s">
        <v>348</v>
      </c>
      <c r="P22" t="s">
        <v>113</v>
      </c>
      <c r="Q22" t="s">
        <v>98</v>
      </c>
      <c r="R22">
        <v>20</v>
      </c>
      <c r="S22" t="s">
        <v>349</v>
      </c>
      <c r="T22" t="s">
        <v>66</v>
      </c>
      <c r="U22" t="s">
        <v>340</v>
      </c>
      <c r="V22" t="s">
        <v>67</v>
      </c>
      <c r="W22" t="s">
        <v>67</v>
      </c>
    </row>
    <row r="23" spans="1:23" x14ac:dyDescent="0.25">
      <c r="A23" t="s">
        <v>350</v>
      </c>
      <c r="B23" t="s">
        <v>351</v>
      </c>
      <c r="C23" t="s">
        <v>352</v>
      </c>
      <c r="D23" t="s">
        <v>353</v>
      </c>
      <c r="E23" t="s">
        <v>12</v>
      </c>
      <c r="F23" t="s">
        <v>354</v>
      </c>
      <c r="G23" t="s">
        <v>355</v>
      </c>
      <c r="H23" t="s">
        <v>356</v>
      </c>
      <c r="I23" t="s">
        <v>357</v>
      </c>
      <c r="J23" t="s">
        <v>358</v>
      </c>
      <c r="K23" t="s">
        <v>359</v>
      </c>
      <c r="L23" t="s">
        <v>360</v>
      </c>
      <c r="M23" t="s">
        <v>361</v>
      </c>
      <c r="N23" t="s">
        <v>61</v>
      </c>
      <c r="O23" t="s">
        <v>362</v>
      </c>
      <c r="P23" t="s">
        <v>142</v>
      </c>
      <c r="Q23" t="s">
        <v>64</v>
      </c>
      <c r="R23">
        <v>20</v>
      </c>
      <c r="S23" t="s">
        <v>363</v>
      </c>
      <c r="T23" t="s">
        <v>159</v>
      </c>
      <c r="U23" t="s">
        <v>354</v>
      </c>
      <c r="V23" t="s">
        <v>67</v>
      </c>
      <c r="W23" t="s">
        <v>67</v>
      </c>
    </row>
    <row r="24" spans="1:23" x14ac:dyDescent="0.25">
      <c r="A24" t="s">
        <v>364</v>
      </c>
      <c r="B24" t="s">
        <v>365</v>
      </c>
      <c r="C24" t="s">
        <v>366</v>
      </c>
      <c r="D24" t="s">
        <v>367</v>
      </c>
      <c r="E24" t="s">
        <v>12</v>
      </c>
      <c r="F24" t="s">
        <v>368</v>
      </c>
      <c r="G24" t="s">
        <v>369</v>
      </c>
      <c r="H24" t="s">
        <v>370</v>
      </c>
      <c r="I24" t="s">
        <v>371</v>
      </c>
      <c r="J24" t="s">
        <v>372</v>
      </c>
      <c r="K24" t="s">
        <v>373</v>
      </c>
      <c r="L24" t="s">
        <v>374</v>
      </c>
      <c r="M24" t="s">
        <v>267</v>
      </c>
      <c r="N24" t="s">
        <v>61</v>
      </c>
      <c r="O24" t="s">
        <v>375</v>
      </c>
      <c r="P24" t="s">
        <v>173</v>
      </c>
      <c r="Q24" t="s">
        <v>143</v>
      </c>
      <c r="R24">
        <v>25</v>
      </c>
      <c r="S24" t="s">
        <v>376</v>
      </c>
      <c r="T24" t="s">
        <v>84</v>
      </c>
      <c r="U24" t="s">
        <v>368</v>
      </c>
      <c r="V24" t="s">
        <v>67</v>
      </c>
      <c r="W24" t="s">
        <v>67</v>
      </c>
    </row>
    <row r="25" spans="1:23" x14ac:dyDescent="0.25">
      <c r="A25" t="s">
        <v>377</v>
      </c>
      <c r="B25" t="s">
        <v>378</v>
      </c>
      <c r="C25" t="s">
        <v>379</v>
      </c>
      <c r="D25" t="s">
        <v>380</v>
      </c>
      <c r="E25" t="s">
        <v>12</v>
      </c>
      <c r="F25" t="s">
        <v>381</v>
      </c>
      <c r="G25" t="s">
        <v>382</v>
      </c>
      <c r="H25" t="s">
        <v>383</v>
      </c>
      <c r="I25" t="s">
        <v>384</v>
      </c>
      <c r="J25" t="s">
        <v>385</v>
      </c>
      <c r="K25" t="s">
        <v>386</v>
      </c>
      <c r="L25" t="s">
        <v>387</v>
      </c>
      <c r="M25" t="s">
        <v>388</v>
      </c>
      <c r="N25" t="s">
        <v>61</v>
      </c>
      <c r="O25" t="s">
        <v>389</v>
      </c>
      <c r="P25" t="s">
        <v>81</v>
      </c>
      <c r="Q25" t="s">
        <v>143</v>
      </c>
      <c r="R25">
        <v>25</v>
      </c>
      <c r="S25" t="s">
        <v>390</v>
      </c>
      <c r="T25" t="s">
        <v>84</v>
      </c>
      <c r="U25" t="s">
        <v>381</v>
      </c>
      <c r="V25" t="s">
        <v>67</v>
      </c>
      <c r="W25" t="s">
        <v>67</v>
      </c>
    </row>
    <row r="26" spans="1:23" x14ac:dyDescent="0.25">
      <c r="A26" t="s">
        <v>10</v>
      </c>
      <c r="B26" t="s">
        <v>391</v>
      </c>
      <c r="C26" t="s">
        <v>392</v>
      </c>
      <c r="D26" t="s">
        <v>393</v>
      </c>
      <c r="E26" t="s">
        <v>12</v>
      </c>
      <c r="F26" t="s">
        <v>394</v>
      </c>
      <c r="G26" t="s">
        <v>395</v>
      </c>
      <c r="H26" t="s">
        <v>396</v>
      </c>
      <c r="I26" t="s">
        <v>397</v>
      </c>
      <c r="J26" t="s">
        <v>398</v>
      </c>
      <c r="K26" t="s">
        <v>399</v>
      </c>
      <c r="L26" t="s">
        <v>400</v>
      </c>
      <c r="M26" t="s">
        <v>241</v>
      </c>
      <c r="N26" t="s">
        <v>61</v>
      </c>
      <c r="O26" t="s">
        <v>401</v>
      </c>
      <c r="P26" t="s">
        <v>173</v>
      </c>
      <c r="Q26" t="s">
        <v>98</v>
      </c>
      <c r="R26">
        <v>15</v>
      </c>
      <c r="S26" t="s">
        <v>402</v>
      </c>
      <c r="T26" t="s">
        <v>84</v>
      </c>
      <c r="U26" t="s">
        <v>394</v>
      </c>
      <c r="V26" t="s">
        <v>67</v>
      </c>
      <c r="W26" t="s">
        <v>67</v>
      </c>
    </row>
    <row r="27" spans="1:23" x14ac:dyDescent="0.25">
      <c r="A27" t="s">
        <v>403</v>
      </c>
      <c r="B27" t="s">
        <v>284</v>
      </c>
      <c r="C27" t="s">
        <v>285</v>
      </c>
      <c r="D27" t="s">
        <v>404</v>
      </c>
      <c r="E27" t="s">
        <v>12</v>
      </c>
      <c r="F27" t="s">
        <v>405</v>
      </c>
      <c r="G27" t="s">
        <v>406</v>
      </c>
      <c r="H27" t="s">
        <v>407</v>
      </c>
      <c r="I27" t="s">
        <v>408</v>
      </c>
      <c r="J27" t="s">
        <v>409</v>
      </c>
      <c r="K27" t="s">
        <v>373</v>
      </c>
      <c r="L27" t="s">
        <v>410</v>
      </c>
      <c r="M27" t="s">
        <v>411</v>
      </c>
      <c r="N27" t="s">
        <v>61</v>
      </c>
      <c r="O27" t="s">
        <v>412</v>
      </c>
      <c r="P27" t="s">
        <v>81</v>
      </c>
      <c r="Q27" t="s">
        <v>98</v>
      </c>
      <c r="R27">
        <v>15</v>
      </c>
      <c r="S27" t="s">
        <v>295</v>
      </c>
      <c r="T27" t="s">
        <v>66</v>
      </c>
      <c r="U27" t="s">
        <v>405</v>
      </c>
      <c r="V27" t="s">
        <v>67</v>
      </c>
      <c r="W27" t="s">
        <v>67</v>
      </c>
    </row>
    <row r="28" spans="1:23" x14ac:dyDescent="0.25">
      <c r="A28" t="s">
        <v>413</v>
      </c>
      <c r="B28" t="s">
        <v>414</v>
      </c>
      <c r="C28" t="s">
        <v>415</v>
      </c>
      <c r="D28" t="s">
        <v>416</v>
      </c>
      <c r="E28" t="s">
        <v>12</v>
      </c>
      <c r="F28" t="s">
        <v>417</v>
      </c>
      <c r="G28" t="s">
        <v>418</v>
      </c>
      <c r="H28" t="s">
        <v>419</v>
      </c>
      <c r="I28" t="s">
        <v>420</v>
      </c>
      <c r="J28" t="s">
        <v>421</v>
      </c>
      <c r="K28" t="s">
        <v>422</v>
      </c>
      <c r="L28" t="s">
        <v>423</v>
      </c>
      <c r="M28" t="s">
        <v>347</v>
      </c>
      <c r="N28" t="s">
        <v>61</v>
      </c>
      <c r="O28" t="s">
        <v>424</v>
      </c>
      <c r="P28" t="s">
        <v>142</v>
      </c>
      <c r="Q28" t="s">
        <v>98</v>
      </c>
      <c r="R28">
        <v>15</v>
      </c>
      <c r="S28" t="s">
        <v>425</v>
      </c>
      <c r="T28" t="s">
        <v>66</v>
      </c>
      <c r="U28" t="s">
        <v>417</v>
      </c>
      <c r="V28" t="s">
        <v>67</v>
      </c>
      <c r="W28" t="s">
        <v>67</v>
      </c>
    </row>
    <row r="29" spans="1:23" x14ac:dyDescent="0.25">
      <c r="A29" t="s">
        <v>426</v>
      </c>
      <c r="B29" t="s">
        <v>427</v>
      </c>
      <c r="C29" t="s">
        <v>428</v>
      </c>
      <c r="D29" t="s">
        <v>429</v>
      </c>
      <c r="E29" t="s">
        <v>12</v>
      </c>
      <c r="F29" t="s">
        <v>430</v>
      </c>
      <c r="G29" t="s">
        <v>431</v>
      </c>
      <c r="H29" t="s">
        <v>432</v>
      </c>
      <c r="I29" t="s">
        <v>433</v>
      </c>
      <c r="J29" t="s">
        <v>434</v>
      </c>
      <c r="K29" t="s">
        <v>318</v>
      </c>
      <c r="L29" t="s">
        <v>435</v>
      </c>
      <c r="M29" t="s">
        <v>436</v>
      </c>
      <c r="N29" t="s">
        <v>61</v>
      </c>
      <c r="O29" t="s">
        <v>437</v>
      </c>
      <c r="P29" t="s">
        <v>113</v>
      </c>
      <c r="Q29" t="s">
        <v>82</v>
      </c>
      <c r="R29">
        <v>15</v>
      </c>
      <c r="S29" t="s">
        <v>438</v>
      </c>
      <c r="T29" t="s">
        <v>84</v>
      </c>
      <c r="U29" t="s">
        <v>430</v>
      </c>
      <c r="V29" t="s">
        <v>67</v>
      </c>
      <c r="W29" t="s">
        <v>67</v>
      </c>
    </row>
    <row r="30" spans="1:23" x14ac:dyDescent="0.25">
      <c r="A30" t="s">
        <v>439</v>
      </c>
      <c r="B30" t="s">
        <v>440</v>
      </c>
      <c r="C30" t="s">
        <v>441</v>
      </c>
      <c r="D30" t="s">
        <v>442</v>
      </c>
      <c r="E30" t="s">
        <v>12</v>
      </c>
      <c r="F30" t="s">
        <v>443</v>
      </c>
      <c r="G30" t="s">
        <v>444</v>
      </c>
      <c r="H30" t="s">
        <v>445</v>
      </c>
      <c r="I30" t="s">
        <v>446</v>
      </c>
      <c r="J30" t="s">
        <v>447</v>
      </c>
      <c r="K30" t="s">
        <v>448</v>
      </c>
      <c r="L30" t="s">
        <v>449</v>
      </c>
      <c r="M30" t="s">
        <v>450</v>
      </c>
      <c r="N30" t="s">
        <v>61</v>
      </c>
      <c r="O30" t="s">
        <v>451</v>
      </c>
      <c r="P30" t="s">
        <v>173</v>
      </c>
      <c r="Q30" t="s">
        <v>98</v>
      </c>
      <c r="R30">
        <v>15</v>
      </c>
      <c r="S30" t="s">
        <v>452</v>
      </c>
      <c r="T30" t="s">
        <v>159</v>
      </c>
      <c r="U30" t="s">
        <v>443</v>
      </c>
      <c r="V30" t="s">
        <v>67</v>
      </c>
      <c r="W30" t="s">
        <v>67</v>
      </c>
    </row>
    <row r="31" spans="1:23" x14ac:dyDescent="0.25">
      <c r="A31" t="s">
        <v>453</v>
      </c>
      <c r="B31" t="s">
        <v>454</v>
      </c>
      <c r="C31" t="s">
        <v>455</v>
      </c>
      <c r="D31" t="s">
        <v>456</v>
      </c>
      <c r="E31" t="s">
        <v>12</v>
      </c>
      <c r="F31" t="s">
        <v>457</v>
      </c>
      <c r="G31" t="s">
        <v>458</v>
      </c>
      <c r="H31" t="s">
        <v>459</v>
      </c>
      <c r="I31" t="s">
        <v>460</v>
      </c>
      <c r="J31" t="s">
        <v>461</v>
      </c>
      <c r="K31" t="s">
        <v>94</v>
      </c>
      <c r="L31" t="s">
        <v>462</v>
      </c>
      <c r="M31" t="s">
        <v>347</v>
      </c>
      <c r="N31" t="s">
        <v>61</v>
      </c>
      <c r="O31" t="s">
        <v>463</v>
      </c>
      <c r="P31" t="s">
        <v>173</v>
      </c>
      <c r="Q31" t="s">
        <v>82</v>
      </c>
      <c r="R31">
        <v>25</v>
      </c>
      <c r="S31" t="s">
        <v>464</v>
      </c>
      <c r="T31" t="s">
        <v>84</v>
      </c>
      <c r="U31" t="s">
        <v>457</v>
      </c>
      <c r="V31" t="s">
        <v>67</v>
      </c>
      <c r="W31" t="s">
        <v>67</v>
      </c>
    </row>
    <row r="32" spans="1:23" x14ac:dyDescent="0.25">
      <c r="A32" t="s">
        <v>465</v>
      </c>
      <c r="B32" t="s">
        <v>466</v>
      </c>
      <c r="C32" t="s">
        <v>467</v>
      </c>
      <c r="D32" t="s">
        <v>468</v>
      </c>
      <c r="E32" t="s">
        <v>12</v>
      </c>
      <c r="F32" t="s">
        <v>469</v>
      </c>
      <c r="G32" t="s">
        <v>470</v>
      </c>
      <c r="H32" t="s">
        <v>471</v>
      </c>
      <c r="I32" t="s">
        <v>472</v>
      </c>
      <c r="J32" t="s">
        <v>473</v>
      </c>
      <c r="K32" t="s">
        <v>474</v>
      </c>
      <c r="L32" t="s">
        <v>475</v>
      </c>
      <c r="M32" t="s">
        <v>156</v>
      </c>
      <c r="N32" t="s">
        <v>61</v>
      </c>
      <c r="O32" t="s">
        <v>476</v>
      </c>
      <c r="P32" t="s">
        <v>113</v>
      </c>
      <c r="Q32" t="s">
        <v>82</v>
      </c>
      <c r="R32">
        <v>25</v>
      </c>
      <c r="S32" t="s">
        <v>477</v>
      </c>
      <c r="T32" t="s">
        <v>84</v>
      </c>
      <c r="U32" t="s">
        <v>469</v>
      </c>
      <c r="V32" t="s">
        <v>67</v>
      </c>
      <c r="W32" t="s">
        <v>67</v>
      </c>
    </row>
    <row r="33" spans="1:23" x14ac:dyDescent="0.25">
      <c r="A33" t="s">
        <v>478</v>
      </c>
      <c r="B33" t="s">
        <v>479</v>
      </c>
      <c r="C33" t="s">
        <v>480</v>
      </c>
      <c r="D33" t="s">
        <v>481</v>
      </c>
      <c r="E33" t="s">
        <v>12</v>
      </c>
      <c r="F33" t="s">
        <v>482</v>
      </c>
      <c r="G33" t="s">
        <v>483</v>
      </c>
      <c r="H33" t="s">
        <v>484</v>
      </c>
      <c r="I33" t="s">
        <v>485</v>
      </c>
      <c r="J33" t="s">
        <v>486</v>
      </c>
      <c r="K33" t="s">
        <v>305</v>
      </c>
      <c r="L33" t="s">
        <v>487</v>
      </c>
      <c r="M33" t="s">
        <v>450</v>
      </c>
      <c r="N33" t="s">
        <v>61</v>
      </c>
      <c r="O33" t="s">
        <v>488</v>
      </c>
      <c r="P33" t="s">
        <v>81</v>
      </c>
      <c r="Q33" t="s">
        <v>98</v>
      </c>
      <c r="R33">
        <v>10</v>
      </c>
      <c r="S33" t="s">
        <v>489</v>
      </c>
      <c r="T33" t="s">
        <v>84</v>
      </c>
      <c r="U33" t="s">
        <v>482</v>
      </c>
      <c r="V33" t="s">
        <v>67</v>
      </c>
      <c r="W33" t="s">
        <v>67</v>
      </c>
    </row>
    <row r="34" spans="1:23" x14ac:dyDescent="0.25">
      <c r="A34" t="s">
        <v>490</v>
      </c>
      <c r="B34" t="s">
        <v>491</v>
      </c>
      <c r="C34" t="s">
        <v>492</v>
      </c>
      <c r="D34" t="s">
        <v>493</v>
      </c>
      <c r="E34" t="s">
        <v>12</v>
      </c>
      <c r="F34" t="s">
        <v>494</v>
      </c>
      <c r="G34" t="s">
        <v>495</v>
      </c>
      <c r="H34" t="s">
        <v>496</v>
      </c>
      <c r="I34" t="s">
        <v>497</v>
      </c>
      <c r="J34" t="s">
        <v>498</v>
      </c>
      <c r="K34" t="s">
        <v>499</v>
      </c>
      <c r="L34" t="s">
        <v>500</v>
      </c>
      <c r="M34" t="s">
        <v>267</v>
      </c>
      <c r="N34" t="s">
        <v>61</v>
      </c>
      <c r="O34" t="s">
        <v>501</v>
      </c>
      <c r="P34" t="s">
        <v>63</v>
      </c>
      <c r="Q34" t="s">
        <v>143</v>
      </c>
      <c r="R34">
        <v>10</v>
      </c>
      <c r="S34" t="s">
        <v>502</v>
      </c>
      <c r="T34" t="s">
        <v>159</v>
      </c>
      <c r="U34" t="s">
        <v>494</v>
      </c>
      <c r="V34" t="s">
        <v>67</v>
      </c>
      <c r="W34" t="s">
        <v>67</v>
      </c>
    </row>
    <row r="35" spans="1:23" x14ac:dyDescent="0.25">
      <c r="A35" t="s">
        <v>503</v>
      </c>
      <c r="B35" t="s">
        <v>504</v>
      </c>
      <c r="C35" t="s">
        <v>505</v>
      </c>
      <c r="D35" t="s">
        <v>506</v>
      </c>
      <c r="E35" t="s">
        <v>12</v>
      </c>
      <c r="F35" t="s">
        <v>507</v>
      </c>
      <c r="G35" t="s">
        <v>508</v>
      </c>
      <c r="H35" t="s">
        <v>509</v>
      </c>
      <c r="I35" t="s">
        <v>510</v>
      </c>
      <c r="J35" t="s">
        <v>511</v>
      </c>
      <c r="K35" t="s">
        <v>512</v>
      </c>
      <c r="L35" t="s">
        <v>513</v>
      </c>
      <c r="M35" t="s">
        <v>514</v>
      </c>
      <c r="N35" t="s">
        <v>61</v>
      </c>
      <c r="O35" t="s">
        <v>515</v>
      </c>
      <c r="P35" t="s">
        <v>81</v>
      </c>
      <c r="Q35" t="s">
        <v>82</v>
      </c>
      <c r="R35">
        <v>15</v>
      </c>
      <c r="S35" t="s">
        <v>516</v>
      </c>
      <c r="T35" t="s">
        <v>84</v>
      </c>
      <c r="U35" t="s">
        <v>507</v>
      </c>
      <c r="V35" t="s">
        <v>67</v>
      </c>
      <c r="W35" t="s">
        <v>67</v>
      </c>
    </row>
    <row r="36" spans="1:23" x14ac:dyDescent="0.25">
      <c r="A36" t="s">
        <v>517</v>
      </c>
      <c r="B36" t="s">
        <v>518</v>
      </c>
      <c r="C36" t="s">
        <v>519</v>
      </c>
      <c r="D36" t="s">
        <v>520</v>
      </c>
      <c r="E36" t="s">
        <v>12</v>
      </c>
      <c r="F36" t="s">
        <v>521</v>
      </c>
      <c r="G36" t="s">
        <v>522</v>
      </c>
      <c r="H36" t="s">
        <v>523</v>
      </c>
      <c r="I36" t="s">
        <v>343</v>
      </c>
      <c r="J36" t="s">
        <v>524</v>
      </c>
      <c r="K36" t="s">
        <v>525</v>
      </c>
      <c r="L36" t="s">
        <v>526</v>
      </c>
      <c r="M36" t="s">
        <v>140</v>
      </c>
      <c r="N36" t="s">
        <v>61</v>
      </c>
      <c r="O36" t="s">
        <v>527</v>
      </c>
      <c r="P36" t="s">
        <v>63</v>
      </c>
      <c r="Q36" t="s">
        <v>64</v>
      </c>
      <c r="R36">
        <v>25</v>
      </c>
      <c r="S36" t="s">
        <v>528</v>
      </c>
      <c r="T36" t="s">
        <v>159</v>
      </c>
      <c r="U36" t="s">
        <v>521</v>
      </c>
      <c r="V36" t="s">
        <v>67</v>
      </c>
      <c r="W36" t="s">
        <v>67</v>
      </c>
    </row>
    <row r="37" spans="1:23" x14ac:dyDescent="0.25">
      <c r="A37" t="s">
        <v>529</v>
      </c>
      <c r="B37" t="s">
        <v>530</v>
      </c>
      <c r="C37" t="s">
        <v>531</v>
      </c>
      <c r="D37" t="s">
        <v>532</v>
      </c>
      <c r="E37" t="s">
        <v>12</v>
      </c>
      <c r="F37" t="s">
        <v>533</v>
      </c>
      <c r="G37" t="s">
        <v>534</v>
      </c>
      <c r="H37" t="s">
        <v>535</v>
      </c>
      <c r="I37" t="s">
        <v>536</v>
      </c>
      <c r="J37" t="s">
        <v>537</v>
      </c>
      <c r="K37" t="s">
        <v>538</v>
      </c>
      <c r="L37" t="s">
        <v>539</v>
      </c>
      <c r="M37" t="s">
        <v>126</v>
      </c>
      <c r="N37" t="s">
        <v>61</v>
      </c>
      <c r="O37" t="s">
        <v>540</v>
      </c>
      <c r="P37" t="s">
        <v>113</v>
      </c>
      <c r="Q37" t="s">
        <v>98</v>
      </c>
      <c r="R37">
        <v>25</v>
      </c>
      <c r="S37" t="s">
        <v>541</v>
      </c>
      <c r="T37" t="s">
        <v>66</v>
      </c>
      <c r="U37" t="s">
        <v>533</v>
      </c>
      <c r="V37" t="s">
        <v>67</v>
      </c>
      <c r="W37" t="s">
        <v>67</v>
      </c>
    </row>
    <row r="38" spans="1:23" x14ac:dyDescent="0.25">
      <c r="A38" t="s">
        <v>542</v>
      </c>
      <c r="B38" t="s">
        <v>543</v>
      </c>
      <c r="C38" t="s">
        <v>544</v>
      </c>
      <c r="D38" t="s">
        <v>545</v>
      </c>
      <c r="E38" t="s">
        <v>12</v>
      </c>
      <c r="F38" t="s">
        <v>546</v>
      </c>
      <c r="G38" t="s">
        <v>547</v>
      </c>
      <c r="H38" t="s">
        <v>548</v>
      </c>
      <c r="I38" t="s">
        <v>549</v>
      </c>
      <c r="J38" t="s">
        <v>550</v>
      </c>
      <c r="K38" t="s">
        <v>551</v>
      </c>
      <c r="L38" t="s">
        <v>552</v>
      </c>
      <c r="M38" t="s">
        <v>96</v>
      </c>
      <c r="N38" t="s">
        <v>61</v>
      </c>
      <c r="O38" t="s">
        <v>553</v>
      </c>
      <c r="P38" t="s">
        <v>142</v>
      </c>
      <c r="Q38" t="s">
        <v>82</v>
      </c>
      <c r="R38">
        <v>10</v>
      </c>
      <c r="S38" t="s">
        <v>554</v>
      </c>
      <c r="T38" t="s">
        <v>66</v>
      </c>
      <c r="U38" t="s">
        <v>546</v>
      </c>
      <c r="V38" t="s">
        <v>67</v>
      </c>
      <c r="W38" t="s">
        <v>67</v>
      </c>
    </row>
    <row r="39" spans="1:23" x14ac:dyDescent="0.25">
      <c r="A39" t="s">
        <v>555</v>
      </c>
      <c r="B39" t="s">
        <v>556</v>
      </c>
      <c r="C39" t="s">
        <v>557</v>
      </c>
      <c r="D39" t="s">
        <v>558</v>
      </c>
      <c r="E39" t="s">
        <v>12</v>
      </c>
      <c r="F39" t="s">
        <v>559</v>
      </c>
      <c r="G39" t="s">
        <v>560</v>
      </c>
      <c r="H39" t="s">
        <v>561</v>
      </c>
      <c r="I39" t="s">
        <v>562</v>
      </c>
      <c r="J39" t="s">
        <v>563</v>
      </c>
      <c r="K39" t="s">
        <v>422</v>
      </c>
      <c r="L39" t="s">
        <v>564</v>
      </c>
      <c r="M39" t="s">
        <v>388</v>
      </c>
      <c r="N39" t="s">
        <v>61</v>
      </c>
      <c r="O39" t="s">
        <v>565</v>
      </c>
      <c r="P39" t="s">
        <v>142</v>
      </c>
      <c r="Q39" t="s">
        <v>82</v>
      </c>
      <c r="R39">
        <v>25</v>
      </c>
      <c r="S39" t="s">
        <v>566</v>
      </c>
      <c r="T39" t="s">
        <v>84</v>
      </c>
      <c r="U39" t="s">
        <v>559</v>
      </c>
      <c r="V39" t="s">
        <v>67</v>
      </c>
      <c r="W39" t="s">
        <v>67</v>
      </c>
    </row>
    <row r="40" spans="1:23" x14ac:dyDescent="0.25">
      <c r="A40" t="s">
        <v>567</v>
      </c>
      <c r="B40" t="s">
        <v>568</v>
      </c>
      <c r="C40" t="s">
        <v>569</v>
      </c>
      <c r="D40" t="s">
        <v>570</v>
      </c>
      <c r="E40" t="s">
        <v>12</v>
      </c>
      <c r="F40" t="s">
        <v>571</v>
      </c>
      <c r="G40" t="s">
        <v>572</v>
      </c>
      <c r="H40" t="s">
        <v>573</v>
      </c>
      <c r="I40" t="s">
        <v>574</v>
      </c>
      <c r="J40" t="s">
        <v>575</v>
      </c>
      <c r="K40" t="s">
        <v>124</v>
      </c>
      <c r="L40" t="s">
        <v>576</v>
      </c>
      <c r="M40" t="s">
        <v>577</v>
      </c>
      <c r="N40" t="s">
        <v>61</v>
      </c>
      <c r="O40" t="s">
        <v>578</v>
      </c>
      <c r="P40" t="s">
        <v>142</v>
      </c>
      <c r="Q40" t="s">
        <v>82</v>
      </c>
      <c r="R40">
        <v>15</v>
      </c>
      <c r="S40" t="s">
        <v>579</v>
      </c>
      <c r="T40" t="s">
        <v>159</v>
      </c>
      <c r="U40" t="s">
        <v>571</v>
      </c>
      <c r="V40" t="s">
        <v>67</v>
      </c>
      <c r="W40" t="s">
        <v>67</v>
      </c>
    </row>
    <row r="41" spans="1:23" x14ac:dyDescent="0.25">
      <c r="A41" t="s">
        <v>580</v>
      </c>
      <c r="B41" t="s">
        <v>581</v>
      </c>
      <c r="C41" t="s">
        <v>582</v>
      </c>
      <c r="D41" t="s">
        <v>583</v>
      </c>
      <c r="E41" t="s">
        <v>12</v>
      </c>
      <c r="F41" t="s">
        <v>584</v>
      </c>
      <c r="G41" t="s">
        <v>585</v>
      </c>
      <c r="H41" t="s">
        <v>586</v>
      </c>
      <c r="I41" t="s">
        <v>587</v>
      </c>
      <c r="J41" t="s">
        <v>588</v>
      </c>
      <c r="K41" t="s">
        <v>589</v>
      </c>
      <c r="L41" t="s">
        <v>590</v>
      </c>
      <c r="M41" t="s">
        <v>361</v>
      </c>
      <c r="N41" t="s">
        <v>61</v>
      </c>
      <c r="O41" t="s">
        <v>591</v>
      </c>
      <c r="P41" t="s">
        <v>142</v>
      </c>
      <c r="Q41" t="s">
        <v>98</v>
      </c>
      <c r="R41">
        <v>20</v>
      </c>
      <c r="S41" t="s">
        <v>592</v>
      </c>
      <c r="T41" t="s">
        <v>66</v>
      </c>
      <c r="U41" t="s">
        <v>584</v>
      </c>
      <c r="V41" t="s">
        <v>67</v>
      </c>
      <c r="W41" t="s">
        <v>67</v>
      </c>
    </row>
    <row r="42" spans="1:23" x14ac:dyDescent="0.25">
      <c r="A42" t="s">
        <v>593</v>
      </c>
      <c r="B42" t="s">
        <v>594</v>
      </c>
      <c r="C42" t="s">
        <v>595</v>
      </c>
      <c r="D42" t="s">
        <v>596</v>
      </c>
      <c r="E42" t="s">
        <v>12</v>
      </c>
      <c r="F42" t="s">
        <v>597</v>
      </c>
      <c r="G42" t="s">
        <v>598</v>
      </c>
      <c r="H42" t="s">
        <v>599</v>
      </c>
      <c r="I42" t="s">
        <v>600</v>
      </c>
      <c r="J42" t="s">
        <v>601</v>
      </c>
      <c r="K42" t="s">
        <v>602</v>
      </c>
      <c r="L42" t="s">
        <v>603</v>
      </c>
      <c r="M42" t="s">
        <v>347</v>
      </c>
      <c r="N42" t="s">
        <v>61</v>
      </c>
      <c r="O42" t="s">
        <v>604</v>
      </c>
      <c r="P42" t="s">
        <v>81</v>
      </c>
      <c r="Q42" t="s">
        <v>64</v>
      </c>
      <c r="R42" t="s">
        <v>605</v>
      </c>
      <c r="S42" t="s">
        <v>606</v>
      </c>
      <c r="T42" t="s">
        <v>159</v>
      </c>
      <c r="U42" t="s">
        <v>597</v>
      </c>
      <c r="V42" t="s">
        <v>67</v>
      </c>
      <c r="W42" t="s">
        <v>67</v>
      </c>
    </row>
    <row r="43" spans="1:23" x14ac:dyDescent="0.25">
      <c r="A43" t="s">
        <v>620</v>
      </c>
      <c r="B43" t="s">
        <v>621</v>
      </c>
      <c r="C43" t="s">
        <v>622</v>
      </c>
      <c r="D43" t="s">
        <v>623</v>
      </c>
      <c r="E43" t="s">
        <v>12</v>
      </c>
      <c r="F43" t="s">
        <v>624</v>
      </c>
      <c r="G43" t="s">
        <v>625</v>
      </c>
      <c r="H43" t="s">
        <v>626</v>
      </c>
      <c r="I43" t="s">
        <v>627</v>
      </c>
      <c r="J43" t="s">
        <v>628</v>
      </c>
      <c r="K43" t="s">
        <v>318</v>
      </c>
      <c r="L43" t="s">
        <v>629</v>
      </c>
      <c r="M43" t="s">
        <v>213</v>
      </c>
      <c r="N43" t="s">
        <v>61</v>
      </c>
      <c r="O43" t="s">
        <v>630</v>
      </c>
      <c r="P43" t="s">
        <v>81</v>
      </c>
      <c r="Q43" t="s">
        <v>98</v>
      </c>
      <c r="R43" t="s">
        <v>605</v>
      </c>
      <c r="S43" t="s">
        <v>631</v>
      </c>
      <c r="T43" t="s">
        <v>159</v>
      </c>
      <c r="U43" t="s">
        <v>624</v>
      </c>
    </row>
    <row r="44" spans="1:23" x14ac:dyDescent="0.25">
      <c r="A44" t="s">
        <v>632</v>
      </c>
      <c r="B44" t="s">
        <v>633</v>
      </c>
      <c r="C44" t="s">
        <v>634</v>
      </c>
      <c r="D44" t="s">
        <v>635</v>
      </c>
      <c r="E44" t="s">
        <v>12</v>
      </c>
      <c r="F44" t="s">
        <v>636</v>
      </c>
      <c r="G44" t="s">
        <v>637</v>
      </c>
      <c r="H44" t="s">
        <v>638</v>
      </c>
      <c r="I44" t="s">
        <v>639</v>
      </c>
      <c r="J44" t="s">
        <v>640</v>
      </c>
      <c r="K44" t="s">
        <v>641</v>
      </c>
      <c r="L44" t="s">
        <v>642</v>
      </c>
      <c r="M44" t="s">
        <v>577</v>
      </c>
      <c r="N44" t="s">
        <v>61</v>
      </c>
      <c r="O44" t="s">
        <v>643</v>
      </c>
      <c r="P44" t="s">
        <v>173</v>
      </c>
      <c r="Q44" t="s">
        <v>64</v>
      </c>
      <c r="R44" t="s">
        <v>611</v>
      </c>
      <c r="S44" t="s">
        <v>644</v>
      </c>
      <c r="T44" t="s">
        <v>84</v>
      </c>
      <c r="U44" t="s">
        <v>636</v>
      </c>
    </row>
    <row r="45" spans="1:23" x14ac:dyDescent="0.25">
      <c r="A45" t="s">
        <v>645</v>
      </c>
      <c r="B45" t="s">
        <v>646</v>
      </c>
      <c r="C45" t="s">
        <v>647</v>
      </c>
      <c r="D45" t="s">
        <v>648</v>
      </c>
      <c r="E45" t="s">
        <v>12</v>
      </c>
      <c r="F45" t="s">
        <v>649</v>
      </c>
      <c r="G45" t="s">
        <v>650</v>
      </c>
      <c r="H45" t="s">
        <v>651</v>
      </c>
      <c r="I45" t="s">
        <v>652</v>
      </c>
      <c r="J45" t="s">
        <v>653</v>
      </c>
      <c r="K45" t="s">
        <v>654</v>
      </c>
      <c r="L45" t="s">
        <v>198</v>
      </c>
      <c r="M45" t="s">
        <v>655</v>
      </c>
      <c r="N45" t="s">
        <v>61</v>
      </c>
      <c r="O45" t="s">
        <v>656</v>
      </c>
      <c r="P45" t="s">
        <v>173</v>
      </c>
      <c r="Q45" t="s">
        <v>98</v>
      </c>
      <c r="R45" t="s">
        <v>605</v>
      </c>
      <c r="S45" t="s">
        <v>657</v>
      </c>
      <c r="T45" t="s">
        <v>84</v>
      </c>
      <c r="U45" t="s">
        <v>649</v>
      </c>
    </row>
    <row r="46" spans="1:23" x14ac:dyDescent="0.25">
      <c r="A46" t="s">
        <v>658</v>
      </c>
      <c r="B46" t="s">
        <v>659</v>
      </c>
      <c r="C46" t="s">
        <v>660</v>
      </c>
      <c r="D46" t="s">
        <v>661</v>
      </c>
      <c r="E46" t="s">
        <v>12</v>
      </c>
      <c r="F46" t="s">
        <v>662</v>
      </c>
      <c r="G46" t="s">
        <v>663</v>
      </c>
      <c r="H46" t="s">
        <v>664</v>
      </c>
      <c r="I46" t="s">
        <v>665</v>
      </c>
      <c r="J46" t="s">
        <v>666</v>
      </c>
      <c r="K46" t="s">
        <v>499</v>
      </c>
      <c r="L46" t="s">
        <v>667</v>
      </c>
      <c r="M46" t="s">
        <v>213</v>
      </c>
      <c r="N46" t="s">
        <v>61</v>
      </c>
      <c r="O46" t="s">
        <v>668</v>
      </c>
      <c r="P46" t="s">
        <v>142</v>
      </c>
      <c r="Q46" t="s">
        <v>143</v>
      </c>
      <c r="R46" t="s">
        <v>605</v>
      </c>
      <c r="S46" t="s">
        <v>669</v>
      </c>
      <c r="T46" t="s">
        <v>159</v>
      </c>
      <c r="U46" t="s">
        <v>662</v>
      </c>
    </row>
    <row r="47" spans="1:23" x14ac:dyDescent="0.25">
      <c r="A47" t="s">
        <v>670</v>
      </c>
      <c r="B47" t="s">
        <v>671</v>
      </c>
      <c r="C47" t="s">
        <v>672</v>
      </c>
      <c r="D47" t="s">
        <v>673</v>
      </c>
      <c r="E47" t="s">
        <v>12</v>
      </c>
      <c r="F47" t="s">
        <v>674</v>
      </c>
      <c r="G47" t="s">
        <v>675</v>
      </c>
      <c r="H47" t="s">
        <v>676</v>
      </c>
      <c r="I47" t="s">
        <v>652</v>
      </c>
      <c r="J47" t="s">
        <v>677</v>
      </c>
      <c r="K47" t="s">
        <v>678</v>
      </c>
      <c r="L47" t="s">
        <v>125</v>
      </c>
      <c r="M47" t="s">
        <v>411</v>
      </c>
      <c r="N47" t="s">
        <v>61</v>
      </c>
      <c r="O47" t="s">
        <v>679</v>
      </c>
      <c r="P47" t="s">
        <v>173</v>
      </c>
      <c r="Q47" t="s">
        <v>82</v>
      </c>
      <c r="R47" t="s">
        <v>607</v>
      </c>
      <c r="S47" t="s">
        <v>680</v>
      </c>
      <c r="T47" t="s">
        <v>66</v>
      </c>
      <c r="U47" t="s">
        <v>674</v>
      </c>
    </row>
    <row r="48" spans="1:23" x14ac:dyDescent="0.25">
      <c r="A48" t="s">
        <v>681</v>
      </c>
      <c r="B48" t="s">
        <v>682</v>
      </c>
      <c r="C48" t="s">
        <v>683</v>
      </c>
      <c r="D48" t="s">
        <v>684</v>
      </c>
      <c r="E48" t="s">
        <v>12</v>
      </c>
      <c r="F48" t="s">
        <v>685</v>
      </c>
      <c r="G48" t="s">
        <v>686</v>
      </c>
      <c r="H48" t="s">
        <v>687</v>
      </c>
      <c r="I48" t="s">
        <v>688</v>
      </c>
      <c r="J48" t="s">
        <v>689</v>
      </c>
      <c r="K48" t="s">
        <v>422</v>
      </c>
      <c r="L48" t="s">
        <v>690</v>
      </c>
      <c r="M48" t="s">
        <v>126</v>
      </c>
      <c r="N48" t="s">
        <v>61</v>
      </c>
      <c r="O48" t="s">
        <v>691</v>
      </c>
      <c r="P48" t="s">
        <v>113</v>
      </c>
      <c r="Q48" t="s">
        <v>143</v>
      </c>
      <c r="R48" t="s">
        <v>607</v>
      </c>
      <c r="S48" t="s">
        <v>692</v>
      </c>
      <c r="T48" t="s">
        <v>66</v>
      </c>
      <c r="U48" t="s">
        <v>685</v>
      </c>
    </row>
    <row r="49" spans="1:21" x14ac:dyDescent="0.25">
      <c r="A49" t="s">
        <v>693</v>
      </c>
      <c r="B49" t="s">
        <v>694</v>
      </c>
      <c r="C49" t="s">
        <v>695</v>
      </c>
      <c r="D49" t="s">
        <v>696</v>
      </c>
      <c r="E49" t="s">
        <v>12</v>
      </c>
      <c r="F49" t="s">
        <v>697</v>
      </c>
      <c r="G49" t="s">
        <v>698</v>
      </c>
      <c r="H49" t="s">
        <v>699</v>
      </c>
      <c r="I49" t="s">
        <v>700</v>
      </c>
      <c r="J49" t="s">
        <v>701</v>
      </c>
      <c r="K49" t="s">
        <v>702</v>
      </c>
      <c r="L49" t="s">
        <v>703</v>
      </c>
      <c r="M49" t="s">
        <v>186</v>
      </c>
      <c r="N49" t="s">
        <v>61</v>
      </c>
      <c r="O49" t="s">
        <v>704</v>
      </c>
      <c r="P49" t="s">
        <v>113</v>
      </c>
      <c r="Q49" t="s">
        <v>82</v>
      </c>
      <c r="R49" t="s">
        <v>605</v>
      </c>
      <c r="S49" t="s">
        <v>705</v>
      </c>
      <c r="T49" t="s">
        <v>66</v>
      </c>
      <c r="U49" t="s">
        <v>697</v>
      </c>
    </row>
    <row r="50" spans="1:21" x14ac:dyDescent="0.25">
      <c r="A50" t="s">
        <v>706</v>
      </c>
      <c r="B50" t="s">
        <v>707</v>
      </c>
      <c r="C50" t="s">
        <v>708</v>
      </c>
      <c r="D50" t="s">
        <v>709</v>
      </c>
      <c r="E50" t="s">
        <v>12</v>
      </c>
      <c r="F50" t="s">
        <v>710</v>
      </c>
      <c r="G50" t="s">
        <v>711</v>
      </c>
      <c r="H50" t="s">
        <v>712</v>
      </c>
      <c r="I50" t="s">
        <v>713</v>
      </c>
      <c r="J50" t="s">
        <v>714</v>
      </c>
      <c r="K50" t="s">
        <v>715</v>
      </c>
      <c r="L50" t="s">
        <v>716</v>
      </c>
      <c r="M50" t="s">
        <v>156</v>
      </c>
      <c r="N50" t="s">
        <v>61</v>
      </c>
      <c r="O50" t="s">
        <v>717</v>
      </c>
      <c r="P50" t="s">
        <v>63</v>
      </c>
      <c r="Q50" t="s">
        <v>98</v>
      </c>
      <c r="R50" t="s">
        <v>605</v>
      </c>
      <c r="S50" t="s">
        <v>718</v>
      </c>
      <c r="T50" t="s">
        <v>84</v>
      </c>
      <c r="U50" t="s">
        <v>710</v>
      </c>
    </row>
    <row r="51" spans="1:21" x14ac:dyDescent="0.25">
      <c r="A51" t="s">
        <v>719</v>
      </c>
      <c r="B51" t="s">
        <v>720</v>
      </c>
      <c r="C51" t="s">
        <v>721</v>
      </c>
      <c r="D51" t="s">
        <v>722</v>
      </c>
      <c r="E51" t="s">
        <v>12</v>
      </c>
      <c r="F51" t="s">
        <v>723</v>
      </c>
      <c r="G51" t="s">
        <v>724</v>
      </c>
      <c r="H51" t="s">
        <v>725</v>
      </c>
      <c r="I51" t="s">
        <v>726</v>
      </c>
      <c r="J51" t="s">
        <v>727</v>
      </c>
      <c r="K51" t="s">
        <v>77</v>
      </c>
      <c r="L51" t="s">
        <v>728</v>
      </c>
      <c r="M51" t="s">
        <v>213</v>
      </c>
      <c r="N51" t="s">
        <v>61</v>
      </c>
      <c r="O51" t="s">
        <v>729</v>
      </c>
      <c r="P51" t="s">
        <v>142</v>
      </c>
      <c r="Q51" t="s">
        <v>82</v>
      </c>
      <c r="R51" t="s">
        <v>605</v>
      </c>
      <c r="S51" t="s">
        <v>730</v>
      </c>
      <c r="T51" t="s">
        <v>84</v>
      </c>
      <c r="U51" t="s">
        <v>723</v>
      </c>
    </row>
    <row r="52" spans="1:21" x14ac:dyDescent="0.25">
      <c r="A52" t="s">
        <v>731</v>
      </c>
      <c r="B52" t="s">
        <v>732</v>
      </c>
      <c r="C52" t="s">
        <v>733</v>
      </c>
      <c r="D52" t="s">
        <v>734</v>
      </c>
      <c r="E52" t="s">
        <v>12</v>
      </c>
      <c r="F52" t="s">
        <v>735</v>
      </c>
      <c r="G52" t="s">
        <v>736</v>
      </c>
      <c r="H52" t="s">
        <v>737</v>
      </c>
      <c r="I52" t="s">
        <v>738</v>
      </c>
      <c r="J52" t="s">
        <v>739</v>
      </c>
      <c r="K52" t="s">
        <v>740</v>
      </c>
      <c r="L52" t="s">
        <v>741</v>
      </c>
      <c r="M52" t="s">
        <v>140</v>
      </c>
      <c r="N52" t="s">
        <v>61</v>
      </c>
      <c r="O52" t="s">
        <v>742</v>
      </c>
      <c r="P52" t="s">
        <v>173</v>
      </c>
      <c r="Q52" t="s">
        <v>98</v>
      </c>
      <c r="R52" t="s">
        <v>608</v>
      </c>
      <c r="S52" t="s">
        <v>743</v>
      </c>
      <c r="T52" t="s">
        <v>66</v>
      </c>
      <c r="U52" t="s">
        <v>735</v>
      </c>
    </row>
    <row r="53" spans="1:21" x14ac:dyDescent="0.25">
      <c r="A53" t="s">
        <v>744</v>
      </c>
      <c r="B53" t="s">
        <v>745</v>
      </c>
      <c r="C53" t="s">
        <v>746</v>
      </c>
      <c r="D53" t="s">
        <v>747</v>
      </c>
      <c r="E53" t="s">
        <v>12</v>
      </c>
      <c r="F53" t="s">
        <v>748</v>
      </c>
      <c r="G53" t="s">
        <v>749</v>
      </c>
      <c r="H53" t="s">
        <v>750</v>
      </c>
      <c r="I53" t="s">
        <v>751</v>
      </c>
      <c r="J53" t="s">
        <v>752</v>
      </c>
      <c r="K53" t="s">
        <v>292</v>
      </c>
      <c r="L53" t="s">
        <v>753</v>
      </c>
      <c r="M53" t="s">
        <v>213</v>
      </c>
      <c r="N53" t="s">
        <v>61</v>
      </c>
      <c r="O53" t="s">
        <v>754</v>
      </c>
      <c r="P53" t="s">
        <v>113</v>
      </c>
      <c r="Q53" t="s">
        <v>82</v>
      </c>
      <c r="R53" t="s">
        <v>608</v>
      </c>
      <c r="S53" t="s">
        <v>755</v>
      </c>
      <c r="T53" t="s">
        <v>159</v>
      </c>
      <c r="U53" t="s">
        <v>748</v>
      </c>
    </row>
    <row r="54" spans="1:21" x14ac:dyDescent="0.25">
      <c r="A54" t="s">
        <v>756</v>
      </c>
      <c r="B54" t="s">
        <v>757</v>
      </c>
      <c r="C54" t="s">
        <v>758</v>
      </c>
      <c r="D54" t="s">
        <v>759</v>
      </c>
      <c r="E54" t="s">
        <v>12</v>
      </c>
      <c r="F54" t="s">
        <v>760</v>
      </c>
      <c r="G54" t="s">
        <v>761</v>
      </c>
      <c r="H54" t="s">
        <v>762</v>
      </c>
      <c r="I54" t="s">
        <v>763</v>
      </c>
      <c r="J54" t="s">
        <v>764</v>
      </c>
      <c r="K54" t="s">
        <v>765</v>
      </c>
      <c r="L54" t="s">
        <v>139</v>
      </c>
      <c r="M54" t="s">
        <v>320</v>
      </c>
      <c r="N54" t="s">
        <v>61</v>
      </c>
      <c r="O54" t="s">
        <v>766</v>
      </c>
      <c r="P54" t="s">
        <v>142</v>
      </c>
      <c r="Q54" t="s">
        <v>143</v>
      </c>
      <c r="R54" t="s">
        <v>607</v>
      </c>
      <c r="S54" t="s">
        <v>767</v>
      </c>
      <c r="T54" t="s">
        <v>84</v>
      </c>
      <c r="U54" t="s">
        <v>760</v>
      </c>
    </row>
    <row r="55" spans="1:21" x14ac:dyDescent="0.25">
      <c r="A55" t="s">
        <v>768</v>
      </c>
      <c r="B55" t="s">
        <v>769</v>
      </c>
      <c r="C55" t="s">
        <v>770</v>
      </c>
      <c r="D55" t="s">
        <v>771</v>
      </c>
      <c r="E55" t="s">
        <v>12</v>
      </c>
      <c r="F55" t="s">
        <v>772</v>
      </c>
      <c r="G55" t="s">
        <v>773</v>
      </c>
      <c r="H55" t="s">
        <v>774</v>
      </c>
      <c r="I55" t="s">
        <v>775</v>
      </c>
      <c r="J55" t="s">
        <v>776</v>
      </c>
      <c r="K55" t="s">
        <v>740</v>
      </c>
      <c r="L55" t="s">
        <v>777</v>
      </c>
      <c r="M55" t="s">
        <v>156</v>
      </c>
      <c r="N55" t="s">
        <v>61</v>
      </c>
      <c r="O55" t="s">
        <v>778</v>
      </c>
      <c r="P55" t="s">
        <v>142</v>
      </c>
      <c r="Q55" t="s">
        <v>82</v>
      </c>
      <c r="R55" t="s">
        <v>605</v>
      </c>
      <c r="S55" t="s">
        <v>779</v>
      </c>
      <c r="T55" t="s">
        <v>159</v>
      </c>
      <c r="U55" t="s">
        <v>772</v>
      </c>
    </row>
    <row r="56" spans="1:21" x14ac:dyDescent="0.25">
      <c r="A56" t="s">
        <v>780</v>
      </c>
      <c r="B56" t="s">
        <v>781</v>
      </c>
      <c r="C56" t="s">
        <v>782</v>
      </c>
      <c r="D56" t="s">
        <v>783</v>
      </c>
      <c r="E56" t="s">
        <v>12</v>
      </c>
      <c r="F56" t="s">
        <v>784</v>
      </c>
      <c r="G56" t="s">
        <v>785</v>
      </c>
      <c r="H56" t="s">
        <v>786</v>
      </c>
      <c r="I56" t="s">
        <v>787</v>
      </c>
      <c r="J56" t="s">
        <v>788</v>
      </c>
      <c r="K56" t="s">
        <v>789</v>
      </c>
      <c r="L56" t="s">
        <v>790</v>
      </c>
      <c r="M56" t="s">
        <v>791</v>
      </c>
      <c r="N56" t="s">
        <v>61</v>
      </c>
      <c r="O56" t="s">
        <v>792</v>
      </c>
      <c r="P56" t="s">
        <v>81</v>
      </c>
      <c r="Q56" t="s">
        <v>98</v>
      </c>
      <c r="R56" t="s">
        <v>607</v>
      </c>
      <c r="S56" t="s">
        <v>793</v>
      </c>
      <c r="T56" t="s">
        <v>66</v>
      </c>
      <c r="U56" t="s">
        <v>784</v>
      </c>
    </row>
    <row r="57" spans="1:21" x14ac:dyDescent="0.25">
      <c r="A57" t="s">
        <v>794</v>
      </c>
      <c r="B57" t="s">
        <v>795</v>
      </c>
      <c r="C57" t="s">
        <v>796</v>
      </c>
      <c r="D57" t="s">
        <v>797</v>
      </c>
      <c r="E57" t="s">
        <v>12</v>
      </c>
      <c r="F57" t="s">
        <v>798</v>
      </c>
      <c r="G57" t="s">
        <v>799</v>
      </c>
      <c r="H57" t="s">
        <v>800</v>
      </c>
      <c r="I57" t="s">
        <v>801</v>
      </c>
      <c r="J57" t="s">
        <v>802</v>
      </c>
      <c r="K57" t="s">
        <v>803</v>
      </c>
      <c r="L57" t="s">
        <v>804</v>
      </c>
      <c r="M57" t="s">
        <v>320</v>
      </c>
      <c r="N57" t="s">
        <v>61</v>
      </c>
      <c r="O57" t="s">
        <v>805</v>
      </c>
      <c r="P57" t="s">
        <v>113</v>
      </c>
      <c r="Q57" t="s">
        <v>64</v>
      </c>
      <c r="R57" t="s">
        <v>607</v>
      </c>
      <c r="S57" t="s">
        <v>806</v>
      </c>
      <c r="T57" t="s">
        <v>159</v>
      </c>
      <c r="U57" t="s">
        <v>798</v>
      </c>
    </row>
    <row r="58" spans="1:21" x14ac:dyDescent="0.25">
      <c r="A58" t="s">
        <v>807</v>
      </c>
      <c r="B58" t="s">
        <v>808</v>
      </c>
      <c r="C58" t="s">
        <v>809</v>
      </c>
      <c r="D58" t="s">
        <v>810</v>
      </c>
      <c r="E58" t="s">
        <v>12</v>
      </c>
      <c r="F58" t="s">
        <v>811</v>
      </c>
      <c r="G58" t="s">
        <v>812</v>
      </c>
      <c r="H58" t="s">
        <v>813</v>
      </c>
      <c r="I58" t="s">
        <v>814</v>
      </c>
      <c r="J58" t="s">
        <v>815</v>
      </c>
      <c r="K58" t="s">
        <v>816</v>
      </c>
      <c r="L58" t="s">
        <v>817</v>
      </c>
      <c r="M58" t="s">
        <v>140</v>
      </c>
      <c r="N58" t="s">
        <v>61</v>
      </c>
      <c r="O58" t="s">
        <v>818</v>
      </c>
      <c r="P58" t="s">
        <v>113</v>
      </c>
      <c r="Q58" t="s">
        <v>64</v>
      </c>
      <c r="R58" t="s">
        <v>607</v>
      </c>
      <c r="S58" t="s">
        <v>819</v>
      </c>
      <c r="T58" t="s">
        <v>66</v>
      </c>
      <c r="U58" t="s">
        <v>811</v>
      </c>
    </row>
    <row r="59" spans="1:21" x14ac:dyDescent="0.25">
      <c r="A59" t="s">
        <v>820</v>
      </c>
      <c r="B59" t="s">
        <v>821</v>
      </c>
      <c r="C59" t="s">
        <v>822</v>
      </c>
      <c r="D59" t="s">
        <v>823</v>
      </c>
      <c r="E59" t="s">
        <v>12</v>
      </c>
      <c r="F59" t="s">
        <v>824</v>
      </c>
      <c r="G59" t="s">
        <v>825</v>
      </c>
      <c r="H59" t="s">
        <v>826</v>
      </c>
      <c r="I59" t="s">
        <v>775</v>
      </c>
      <c r="J59" t="s">
        <v>827</v>
      </c>
      <c r="K59" t="s">
        <v>828</v>
      </c>
      <c r="L59" t="s">
        <v>829</v>
      </c>
      <c r="M59" t="s">
        <v>577</v>
      </c>
      <c r="N59" t="s">
        <v>61</v>
      </c>
      <c r="O59" t="s">
        <v>830</v>
      </c>
      <c r="P59" t="s">
        <v>142</v>
      </c>
      <c r="Q59" t="s">
        <v>82</v>
      </c>
      <c r="R59" t="s">
        <v>607</v>
      </c>
      <c r="S59" t="s">
        <v>831</v>
      </c>
      <c r="T59" t="s">
        <v>66</v>
      </c>
      <c r="U59" t="s">
        <v>824</v>
      </c>
    </row>
    <row r="60" spans="1:21" x14ac:dyDescent="0.25">
      <c r="A60" t="s">
        <v>832</v>
      </c>
      <c r="B60" t="s">
        <v>833</v>
      </c>
      <c r="C60" t="s">
        <v>834</v>
      </c>
      <c r="D60" t="s">
        <v>835</v>
      </c>
      <c r="E60" t="s">
        <v>12</v>
      </c>
      <c r="F60" t="s">
        <v>836</v>
      </c>
      <c r="G60" t="s">
        <v>837</v>
      </c>
      <c r="H60" t="s">
        <v>838</v>
      </c>
      <c r="I60" t="s">
        <v>839</v>
      </c>
      <c r="J60" t="s">
        <v>840</v>
      </c>
      <c r="K60" t="s">
        <v>841</v>
      </c>
      <c r="L60" t="s">
        <v>842</v>
      </c>
      <c r="M60" t="s">
        <v>436</v>
      </c>
      <c r="N60" t="s">
        <v>61</v>
      </c>
      <c r="O60" t="s">
        <v>843</v>
      </c>
      <c r="P60" t="s">
        <v>63</v>
      </c>
      <c r="Q60" t="s">
        <v>82</v>
      </c>
      <c r="R60" t="s">
        <v>608</v>
      </c>
      <c r="S60" t="s">
        <v>844</v>
      </c>
      <c r="T60" t="s">
        <v>159</v>
      </c>
      <c r="U60" t="s">
        <v>836</v>
      </c>
    </row>
    <row r="61" spans="1:21" x14ac:dyDescent="0.25">
      <c r="A61" t="s">
        <v>845</v>
      </c>
      <c r="B61" t="s">
        <v>846</v>
      </c>
      <c r="C61" t="s">
        <v>847</v>
      </c>
      <c r="D61" t="s">
        <v>848</v>
      </c>
      <c r="E61" t="s">
        <v>12</v>
      </c>
      <c r="F61" t="s">
        <v>849</v>
      </c>
      <c r="G61" t="s">
        <v>850</v>
      </c>
      <c r="H61" t="s">
        <v>851</v>
      </c>
      <c r="I61" t="s">
        <v>852</v>
      </c>
      <c r="J61" t="s">
        <v>853</v>
      </c>
      <c r="K61" t="s">
        <v>854</v>
      </c>
      <c r="L61" t="s">
        <v>855</v>
      </c>
      <c r="M61" t="s">
        <v>411</v>
      </c>
      <c r="N61" t="s">
        <v>61</v>
      </c>
      <c r="O61" t="s">
        <v>856</v>
      </c>
      <c r="P61" t="s">
        <v>113</v>
      </c>
      <c r="Q61" t="s">
        <v>82</v>
      </c>
      <c r="R61" t="s">
        <v>608</v>
      </c>
      <c r="S61" t="s">
        <v>857</v>
      </c>
      <c r="T61" t="s">
        <v>84</v>
      </c>
      <c r="U61" t="s">
        <v>849</v>
      </c>
    </row>
    <row r="62" spans="1:21" x14ac:dyDescent="0.25">
      <c r="A62" t="s">
        <v>858</v>
      </c>
      <c r="B62" t="s">
        <v>859</v>
      </c>
      <c r="C62" t="s">
        <v>860</v>
      </c>
      <c r="D62" t="s">
        <v>861</v>
      </c>
      <c r="E62" t="s">
        <v>12</v>
      </c>
      <c r="F62" t="s">
        <v>862</v>
      </c>
      <c r="G62" t="s">
        <v>863</v>
      </c>
      <c r="H62" t="s">
        <v>864</v>
      </c>
      <c r="I62" t="s">
        <v>865</v>
      </c>
      <c r="J62" t="s">
        <v>866</v>
      </c>
      <c r="K62" t="s">
        <v>867</v>
      </c>
      <c r="L62" t="s">
        <v>703</v>
      </c>
      <c r="M62" t="s">
        <v>79</v>
      </c>
      <c r="N62" t="s">
        <v>61</v>
      </c>
      <c r="O62" t="s">
        <v>868</v>
      </c>
      <c r="P62" t="s">
        <v>63</v>
      </c>
      <c r="Q62" t="s">
        <v>143</v>
      </c>
      <c r="R62" t="s">
        <v>605</v>
      </c>
      <c r="S62" t="s">
        <v>869</v>
      </c>
      <c r="T62" t="s">
        <v>159</v>
      </c>
      <c r="U62" t="s">
        <v>862</v>
      </c>
    </row>
    <row r="63" spans="1:21" x14ac:dyDescent="0.25">
      <c r="A63" t="s">
        <v>870</v>
      </c>
      <c r="B63" t="s">
        <v>871</v>
      </c>
      <c r="C63" t="s">
        <v>872</v>
      </c>
      <c r="D63" t="s">
        <v>873</v>
      </c>
      <c r="E63" t="s">
        <v>12</v>
      </c>
      <c r="F63" t="s">
        <v>874</v>
      </c>
      <c r="G63" t="s">
        <v>875</v>
      </c>
      <c r="H63" t="s">
        <v>876</v>
      </c>
      <c r="I63" t="s">
        <v>877</v>
      </c>
      <c r="J63" t="s">
        <v>878</v>
      </c>
      <c r="K63" t="s">
        <v>292</v>
      </c>
      <c r="L63" t="s">
        <v>879</v>
      </c>
      <c r="M63" t="s">
        <v>880</v>
      </c>
      <c r="N63" t="s">
        <v>61</v>
      </c>
      <c r="O63" t="s">
        <v>881</v>
      </c>
      <c r="P63" t="s">
        <v>63</v>
      </c>
      <c r="Q63" t="s">
        <v>64</v>
      </c>
      <c r="R63" t="s">
        <v>608</v>
      </c>
      <c r="S63" t="s">
        <v>882</v>
      </c>
      <c r="T63" t="s">
        <v>84</v>
      </c>
      <c r="U63" t="s">
        <v>874</v>
      </c>
    </row>
    <row r="64" spans="1:21" x14ac:dyDescent="0.25">
      <c r="A64" t="s">
        <v>883</v>
      </c>
      <c r="B64" t="s">
        <v>884</v>
      </c>
      <c r="C64" t="s">
        <v>885</v>
      </c>
      <c r="D64" t="s">
        <v>886</v>
      </c>
      <c r="E64" t="s">
        <v>12</v>
      </c>
      <c r="F64" t="s">
        <v>887</v>
      </c>
      <c r="G64" t="s">
        <v>888</v>
      </c>
      <c r="H64" t="s">
        <v>889</v>
      </c>
      <c r="I64" t="s">
        <v>890</v>
      </c>
      <c r="J64" t="s">
        <v>891</v>
      </c>
      <c r="K64" t="s">
        <v>138</v>
      </c>
      <c r="L64" t="s">
        <v>842</v>
      </c>
      <c r="M64" t="s">
        <v>111</v>
      </c>
      <c r="N64" t="s">
        <v>61</v>
      </c>
      <c r="O64" t="s">
        <v>892</v>
      </c>
      <c r="P64" t="s">
        <v>173</v>
      </c>
      <c r="Q64" t="s">
        <v>64</v>
      </c>
      <c r="R64" t="s">
        <v>605</v>
      </c>
      <c r="S64" t="s">
        <v>893</v>
      </c>
      <c r="T64" t="s">
        <v>66</v>
      </c>
      <c r="U64" t="s">
        <v>887</v>
      </c>
    </row>
    <row r="65" spans="1:21" x14ac:dyDescent="0.25">
      <c r="A65" t="s">
        <v>894</v>
      </c>
      <c r="B65" t="s">
        <v>895</v>
      </c>
      <c r="C65" t="s">
        <v>896</v>
      </c>
      <c r="D65" t="s">
        <v>897</v>
      </c>
      <c r="E65" t="s">
        <v>12</v>
      </c>
      <c r="F65" t="s">
        <v>898</v>
      </c>
      <c r="G65" t="s">
        <v>899</v>
      </c>
      <c r="H65" t="s">
        <v>900</v>
      </c>
      <c r="I65" t="s">
        <v>901</v>
      </c>
      <c r="J65" t="s">
        <v>902</v>
      </c>
      <c r="K65" t="s">
        <v>903</v>
      </c>
      <c r="L65" t="s">
        <v>904</v>
      </c>
      <c r="M65" t="s">
        <v>79</v>
      </c>
      <c r="N65" t="s">
        <v>61</v>
      </c>
      <c r="O65" t="s">
        <v>905</v>
      </c>
      <c r="P65" t="s">
        <v>142</v>
      </c>
      <c r="Q65" t="s">
        <v>82</v>
      </c>
      <c r="R65" t="s">
        <v>607</v>
      </c>
      <c r="S65" t="s">
        <v>906</v>
      </c>
      <c r="T65" t="s">
        <v>84</v>
      </c>
      <c r="U65" t="s">
        <v>898</v>
      </c>
    </row>
    <row r="66" spans="1:21" x14ac:dyDescent="0.25">
      <c r="A66" t="s">
        <v>907</v>
      </c>
      <c r="B66" t="s">
        <v>908</v>
      </c>
      <c r="C66" t="s">
        <v>909</v>
      </c>
      <c r="D66" t="s">
        <v>910</v>
      </c>
      <c r="E66" t="s">
        <v>12</v>
      </c>
      <c r="F66" t="s">
        <v>911</v>
      </c>
      <c r="G66" t="s">
        <v>912</v>
      </c>
      <c r="H66" t="s">
        <v>913</v>
      </c>
      <c r="I66" t="s">
        <v>914</v>
      </c>
      <c r="J66" t="s">
        <v>915</v>
      </c>
      <c r="K66" t="s">
        <v>512</v>
      </c>
      <c r="L66" t="s">
        <v>916</v>
      </c>
      <c r="M66" t="s">
        <v>655</v>
      </c>
      <c r="N66" t="s">
        <v>61</v>
      </c>
      <c r="O66" t="s">
        <v>917</v>
      </c>
      <c r="P66" t="s">
        <v>113</v>
      </c>
      <c r="Q66" t="s">
        <v>64</v>
      </c>
      <c r="R66" t="s">
        <v>611</v>
      </c>
      <c r="S66" t="s">
        <v>918</v>
      </c>
      <c r="T66" t="s">
        <v>159</v>
      </c>
      <c r="U66" t="s">
        <v>911</v>
      </c>
    </row>
    <row r="67" spans="1:21" x14ac:dyDescent="0.25">
      <c r="A67" t="s">
        <v>919</v>
      </c>
      <c r="B67" t="s">
        <v>920</v>
      </c>
      <c r="C67" t="s">
        <v>921</v>
      </c>
      <c r="D67" t="s">
        <v>922</v>
      </c>
      <c r="E67" t="s">
        <v>12</v>
      </c>
      <c r="F67" t="s">
        <v>923</v>
      </c>
      <c r="G67" t="s">
        <v>924</v>
      </c>
      <c r="H67" t="s">
        <v>925</v>
      </c>
      <c r="I67" t="s">
        <v>926</v>
      </c>
      <c r="J67" t="s">
        <v>927</v>
      </c>
      <c r="K67" t="s">
        <v>124</v>
      </c>
      <c r="L67" t="s">
        <v>928</v>
      </c>
      <c r="M67" t="s">
        <v>199</v>
      </c>
      <c r="N67" t="s">
        <v>61</v>
      </c>
      <c r="O67" t="s">
        <v>929</v>
      </c>
      <c r="P67" t="s">
        <v>113</v>
      </c>
      <c r="Q67" t="s">
        <v>143</v>
      </c>
      <c r="R67" t="s">
        <v>605</v>
      </c>
      <c r="S67" t="s">
        <v>930</v>
      </c>
      <c r="T67" t="s">
        <v>84</v>
      </c>
      <c r="U67" t="s">
        <v>923</v>
      </c>
    </row>
    <row r="68" spans="1:21" x14ac:dyDescent="0.25">
      <c r="A68" t="s">
        <v>931</v>
      </c>
      <c r="B68" t="s">
        <v>932</v>
      </c>
      <c r="C68" t="s">
        <v>933</v>
      </c>
      <c r="D68" t="s">
        <v>934</v>
      </c>
      <c r="E68" t="s">
        <v>12</v>
      </c>
      <c r="F68" t="s">
        <v>935</v>
      </c>
      <c r="G68" t="s">
        <v>936</v>
      </c>
      <c r="H68" t="s">
        <v>937</v>
      </c>
      <c r="I68" t="s">
        <v>167</v>
      </c>
      <c r="J68" t="s">
        <v>938</v>
      </c>
      <c r="K68" t="s">
        <v>939</v>
      </c>
      <c r="L68" t="s">
        <v>940</v>
      </c>
      <c r="M68" t="s">
        <v>791</v>
      </c>
      <c r="N68" t="s">
        <v>61</v>
      </c>
      <c r="O68" t="s">
        <v>941</v>
      </c>
      <c r="P68" t="s">
        <v>63</v>
      </c>
      <c r="Q68" t="s">
        <v>143</v>
      </c>
      <c r="R68" t="s">
        <v>607</v>
      </c>
      <c r="S68" t="s">
        <v>942</v>
      </c>
      <c r="T68" t="s">
        <v>159</v>
      </c>
      <c r="U68" t="s">
        <v>935</v>
      </c>
    </row>
    <row r="69" spans="1:21" x14ac:dyDescent="0.25">
      <c r="A69" t="s">
        <v>943</v>
      </c>
      <c r="B69" t="s">
        <v>944</v>
      </c>
      <c r="C69" t="s">
        <v>945</v>
      </c>
      <c r="D69" t="s">
        <v>946</v>
      </c>
      <c r="E69" t="s">
        <v>12</v>
      </c>
      <c r="F69" t="s">
        <v>947</v>
      </c>
      <c r="G69" t="s">
        <v>948</v>
      </c>
      <c r="H69" t="s">
        <v>949</v>
      </c>
      <c r="I69" t="s">
        <v>950</v>
      </c>
      <c r="J69" t="s">
        <v>951</v>
      </c>
      <c r="K69" t="s">
        <v>952</v>
      </c>
      <c r="L69" t="s">
        <v>953</v>
      </c>
      <c r="M69" t="s">
        <v>411</v>
      </c>
      <c r="N69" t="s">
        <v>61</v>
      </c>
      <c r="O69" t="s">
        <v>954</v>
      </c>
      <c r="P69" t="s">
        <v>63</v>
      </c>
      <c r="Q69" t="s">
        <v>98</v>
      </c>
      <c r="R69" t="s">
        <v>607</v>
      </c>
      <c r="S69" t="s">
        <v>955</v>
      </c>
      <c r="T69" t="s">
        <v>159</v>
      </c>
      <c r="U69" t="s">
        <v>947</v>
      </c>
    </row>
    <row r="70" spans="1:21" x14ac:dyDescent="0.25">
      <c r="A70" t="s">
        <v>956</v>
      </c>
      <c r="B70" t="s">
        <v>957</v>
      </c>
      <c r="C70" t="s">
        <v>958</v>
      </c>
      <c r="D70" t="s">
        <v>959</v>
      </c>
      <c r="E70" t="s">
        <v>12</v>
      </c>
      <c r="F70" t="s">
        <v>960</v>
      </c>
      <c r="G70" t="s">
        <v>961</v>
      </c>
      <c r="H70" t="s">
        <v>962</v>
      </c>
      <c r="I70" t="s">
        <v>963</v>
      </c>
      <c r="J70" t="s">
        <v>964</v>
      </c>
      <c r="K70" t="s">
        <v>239</v>
      </c>
      <c r="L70" t="s">
        <v>576</v>
      </c>
      <c r="M70" t="s">
        <v>411</v>
      </c>
      <c r="N70" t="s">
        <v>61</v>
      </c>
      <c r="O70" t="s">
        <v>965</v>
      </c>
      <c r="P70" t="s">
        <v>63</v>
      </c>
      <c r="Q70" t="s">
        <v>82</v>
      </c>
      <c r="R70" t="s">
        <v>611</v>
      </c>
      <c r="S70" t="s">
        <v>966</v>
      </c>
      <c r="T70" t="s">
        <v>84</v>
      </c>
      <c r="U70" t="s">
        <v>960</v>
      </c>
    </row>
    <row r="71" spans="1:21" x14ac:dyDescent="0.25">
      <c r="A71" t="s">
        <v>967</v>
      </c>
      <c r="B71" t="s">
        <v>968</v>
      </c>
      <c r="C71" t="s">
        <v>969</v>
      </c>
      <c r="D71" t="s">
        <v>970</v>
      </c>
      <c r="E71" t="s">
        <v>12</v>
      </c>
      <c r="F71" t="s">
        <v>971</v>
      </c>
      <c r="G71" t="s">
        <v>972</v>
      </c>
      <c r="H71" t="s">
        <v>973</v>
      </c>
      <c r="I71" t="s">
        <v>974</v>
      </c>
      <c r="J71" t="s">
        <v>975</v>
      </c>
      <c r="K71" t="s">
        <v>124</v>
      </c>
      <c r="L71" t="s">
        <v>976</v>
      </c>
      <c r="M71" t="s">
        <v>186</v>
      </c>
      <c r="N71" t="s">
        <v>61</v>
      </c>
      <c r="O71" t="s">
        <v>977</v>
      </c>
      <c r="P71" t="s">
        <v>113</v>
      </c>
      <c r="Q71" t="s">
        <v>64</v>
      </c>
      <c r="R71" t="s">
        <v>607</v>
      </c>
      <c r="S71" t="s">
        <v>978</v>
      </c>
      <c r="T71" t="s">
        <v>84</v>
      </c>
      <c r="U71" t="s">
        <v>971</v>
      </c>
    </row>
    <row r="72" spans="1:21" x14ac:dyDescent="0.25">
      <c r="A72" t="s">
        <v>979</v>
      </c>
      <c r="B72" t="s">
        <v>980</v>
      </c>
      <c r="C72" t="s">
        <v>981</v>
      </c>
      <c r="D72" t="s">
        <v>982</v>
      </c>
      <c r="E72" t="s">
        <v>12</v>
      </c>
      <c r="F72" t="s">
        <v>983</v>
      </c>
      <c r="G72" t="s">
        <v>984</v>
      </c>
      <c r="H72" t="s">
        <v>985</v>
      </c>
      <c r="I72" t="s">
        <v>986</v>
      </c>
      <c r="J72" t="s">
        <v>987</v>
      </c>
      <c r="K72" t="s">
        <v>988</v>
      </c>
      <c r="L72" t="s">
        <v>989</v>
      </c>
      <c r="M72" t="s">
        <v>140</v>
      </c>
      <c r="N72" t="s">
        <v>61</v>
      </c>
      <c r="O72" t="s">
        <v>990</v>
      </c>
      <c r="P72" t="s">
        <v>142</v>
      </c>
      <c r="Q72" t="s">
        <v>98</v>
      </c>
      <c r="R72" t="s">
        <v>607</v>
      </c>
      <c r="S72" t="s">
        <v>991</v>
      </c>
      <c r="T72" t="s">
        <v>159</v>
      </c>
      <c r="U72" t="s">
        <v>983</v>
      </c>
    </row>
    <row r="73" spans="1:21" x14ac:dyDescent="0.25">
      <c r="A73" t="s">
        <v>992</v>
      </c>
      <c r="B73" t="s">
        <v>993</v>
      </c>
      <c r="C73" t="s">
        <v>994</v>
      </c>
      <c r="D73" t="s">
        <v>995</v>
      </c>
      <c r="E73" t="s">
        <v>12</v>
      </c>
      <c r="F73" t="s">
        <v>996</v>
      </c>
      <c r="G73" t="s">
        <v>997</v>
      </c>
      <c r="H73" t="s">
        <v>998</v>
      </c>
      <c r="I73" t="s">
        <v>999</v>
      </c>
      <c r="J73" t="s">
        <v>1000</v>
      </c>
      <c r="K73" t="s">
        <v>1001</v>
      </c>
      <c r="L73" t="s">
        <v>462</v>
      </c>
      <c r="M73" t="s">
        <v>126</v>
      </c>
      <c r="N73" t="s">
        <v>61</v>
      </c>
      <c r="O73" t="s">
        <v>1002</v>
      </c>
      <c r="P73" t="s">
        <v>113</v>
      </c>
      <c r="Q73" t="s">
        <v>98</v>
      </c>
      <c r="R73" t="s">
        <v>607</v>
      </c>
      <c r="S73" t="s">
        <v>1003</v>
      </c>
      <c r="T73" t="s">
        <v>84</v>
      </c>
      <c r="U73" t="s">
        <v>996</v>
      </c>
    </row>
    <row r="74" spans="1:21" x14ac:dyDescent="0.25">
      <c r="A74" t="s">
        <v>1004</v>
      </c>
      <c r="B74" t="s">
        <v>1005</v>
      </c>
      <c r="C74" t="s">
        <v>1006</v>
      </c>
      <c r="D74" t="s">
        <v>1007</v>
      </c>
      <c r="E74" t="s">
        <v>12</v>
      </c>
      <c r="F74" t="s">
        <v>1008</v>
      </c>
      <c r="G74" t="s">
        <v>1009</v>
      </c>
      <c r="H74" t="s">
        <v>1010</v>
      </c>
      <c r="I74" t="s">
        <v>1011</v>
      </c>
      <c r="J74" t="s">
        <v>1012</v>
      </c>
      <c r="K74" t="s">
        <v>169</v>
      </c>
      <c r="L74" t="s">
        <v>1013</v>
      </c>
      <c r="M74" t="s">
        <v>156</v>
      </c>
      <c r="N74" t="s">
        <v>61</v>
      </c>
      <c r="O74" t="s">
        <v>1014</v>
      </c>
      <c r="P74" t="s">
        <v>173</v>
      </c>
      <c r="Q74" t="s">
        <v>82</v>
      </c>
      <c r="R74" t="s">
        <v>605</v>
      </c>
      <c r="S74" t="s">
        <v>1015</v>
      </c>
      <c r="T74" t="s">
        <v>66</v>
      </c>
      <c r="U74" t="s">
        <v>1008</v>
      </c>
    </row>
    <row r="75" spans="1:21" x14ac:dyDescent="0.25">
      <c r="A75" t="s">
        <v>1016</v>
      </c>
      <c r="B75" t="s">
        <v>1017</v>
      </c>
      <c r="C75" t="s">
        <v>1018</v>
      </c>
      <c r="D75" t="s">
        <v>1019</v>
      </c>
      <c r="E75" t="s">
        <v>12</v>
      </c>
      <c r="F75" t="s">
        <v>1020</v>
      </c>
      <c r="G75" t="s">
        <v>1021</v>
      </c>
      <c r="H75" t="s">
        <v>1022</v>
      </c>
      <c r="I75" t="s">
        <v>1023</v>
      </c>
      <c r="J75" t="s">
        <v>1024</v>
      </c>
      <c r="K75" t="s">
        <v>124</v>
      </c>
      <c r="L75" t="s">
        <v>1025</v>
      </c>
      <c r="M75" t="s">
        <v>111</v>
      </c>
      <c r="N75" t="s">
        <v>61</v>
      </c>
      <c r="O75" t="s">
        <v>1026</v>
      </c>
      <c r="P75" t="s">
        <v>81</v>
      </c>
      <c r="Q75" t="s">
        <v>64</v>
      </c>
      <c r="R75" t="s">
        <v>605</v>
      </c>
      <c r="S75" t="s">
        <v>1027</v>
      </c>
      <c r="T75" t="s">
        <v>66</v>
      </c>
      <c r="U75" t="s">
        <v>1020</v>
      </c>
    </row>
    <row r="76" spans="1:21" x14ac:dyDescent="0.25">
      <c r="A76" t="s">
        <v>1028</v>
      </c>
      <c r="B76" t="s">
        <v>1029</v>
      </c>
      <c r="C76" t="s">
        <v>1030</v>
      </c>
      <c r="D76" t="s">
        <v>1031</v>
      </c>
      <c r="E76" t="s">
        <v>12</v>
      </c>
      <c r="F76" t="s">
        <v>1032</v>
      </c>
      <c r="G76" t="s">
        <v>1033</v>
      </c>
      <c r="H76" t="s">
        <v>1034</v>
      </c>
      <c r="I76" t="s">
        <v>1035</v>
      </c>
      <c r="J76" t="s">
        <v>1036</v>
      </c>
      <c r="K76" t="s">
        <v>154</v>
      </c>
      <c r="L76" t="s">
        <v>1037</v>
      </c>
      <c r="M76" t="s">
        <v>514</v>
      </c>
      <c r="N76" t="s">
        <v>61</v>
      </c>
      <c r="O76" t="s">
        <v>1038</v>
      </c>
      <c r="P76" t="s">
        <v>113</v>
      </c>
      <c r="Q76" t="s">
        <v>98</v>
      </c>
      <c r="R76" t="s">
        <v>608</v>
      </c>
      <c r="S76" t="s">
        <v>1039</v>
      </c>
      <c r="T76" t="s">
        <v>84</v>
      </c>
      <c r="U76" t="s">
        <v>1032</v>
      </c>
    </row>
    <row r="77" spans="1:21" x14ac:dyDescent="0.25">
      <c r="A77" t="s">
        <v>1040</v>
      </c>
      <c r="B77" t="s">
        <v>1041</v>
      </c>
      <c r="C77" t="s">
        <v>1042</v>
      </c>
      <c r="D77" t="s">
        <v>1043</v>
      </c>
      <c r="E77" t="s">
        <v>12</v>
      </c>
      <c r="F77" t="s">
        <v>1044</v>
      </c>
      <c r="G77" t="s">
        <v>1045</v>
      </c>
      <c r="H77" t="s">
        <v>1046</v>
      </c>
      <c r="I77" t="s">
        <v>1047</v>
      </c>
      <c r="J77" t="s">
        <v>1048</v>
      </c>
      <c r="K77" t="s">
        <v>1049</v>
      </c>
      <c r="L77" t="s">
        <v>1050</v>
      </c>
      <c r="M77" t="s">
        <v>347</v>
      </c>
      <c r="N77" t="s">
        <v>61</v>
      </c>
      <c r="O77" t="s">
        <v>1051</v>
      </c>
      <c r="P77" t="s">
        <v>173</v>
      </c>
      <c r="Q77" t="s">
        <v>82</v>
      </c>
      <c r="R77" t="s">
        <v>607</v>
      </c>
      <c r="S77" t="s">
        <v>1052</v>
      </c>
      <c r="T77" t="s">
        <v>84</v>
      </c>
      <c r="U77" t="s">
        <v>1044</v>
      </c>
    </row>
    <row r="78" spans="1:21" x14ac:dyDescent="0.25">
      <c r="A78" t="s">
        <v>1053</v>
      </c>
      <c r="B78" t="s">
        <v>1054</v>
      </c>
      <c r="C78" t="s">
        <v>1055</v>
      </c>
      <c r="D78" t="s">
        <v>1056</v>
      </c>
      <c r="E78" t="s">
        <v>12</v>
      </c>
      <c r="F78" t="s">
        <v>1057</v>
      </c>
      <c r="G78" t="s">
        <v>1058</v>
      </c>
      <c r="H78" t="s">
        <v>1059</v>
      </c>
      <c r="I78" t="s">
        <v>1060</v>
      </c>
      <c r="J78" t="s">
        <v>1061</v>
      </c>
      <c r="K78" t="s">
        <v>292</v>
      </c>
      <c r="L78" t="s">
        <v>1062</v>
      </c>
      <c r="M78" t="s">
        <v>577</v>
      </c>
      <c r="N78" t="s">
        <v>61</v>
      </c>
      <c r="O78" t="s">
        <v>1063</v>
      </c>
      <c r="P78" t="s">
        <v>113</v>
      </c>
      <c r="Q78" t="s">
        <v>98</v>
      </c>
      <c r="R78" t="s">
        <v>607</v>
      </c>
      <c r="S78" t="s">
        <v>1064</v>
      </c>
      <c r="T78" t="s">
        <v>66</v>
      </c>
      <c r="U78" t="s">
        <v>1057</v>
      </c>
    </row>
    <row r="79" spans="1:21" x14ac:dyDescent="0.25">
      <c r="A79" t="s">
        <v>1065</v>
      </c>
      <c r="B79" t="s">
        <v>1066</v>
      </c>
      <c r="C79" t="s">
        <v>1067</v>
      </c>
      <c r="D79" t="s">
        <v>1068</v>
      </c>
      <c r="E79" t="s">
        <v>12</v>
      </c>
      <c r="F79" t="s">
        <v>1069</v>
      </c>
      <c r="G79" t="s">
        <v>1070</v>
      </c>
      <c r="H79" t="s">
        <v>1071</v>
      </c>
      <c r="I79" t="s">
        <v>460</v>
      </c>
      <c r="J79" t="s">
        <v>1072</v>
      </c>
      <c r="K79" t="s">
        <v>58</v>
      </c>
      <c r="L79" t="s">
        <v>1073</v>
      </c>
      <c r="M79" t="s">
        <v>156</v>
      </c>
      <c r="N79" t="s">
        <v>61</v>
      </c>
      <c r="O79" t="s">
        <v>1074</v>
      </c>
      <c r="P79" t="s">
        <v>173</v>
      </c>
      <c r="Q79" t="s">
        <v>64</v>
      </c>
      <c r="R79" t="s">
        <v>605</v>
      </c>
      <c r="S79" t="s">
        <v>1075</v>
      </c>
      <c r="T79" t="s">
        <v>159</v>
      </c>
      <c r="U79" t="s">
        <v>1069</v>
      </c>
    </row>
    <row r="80" spans="1:21" x14ac:dyDescent="0.25">
      <c r="A80" t="s">
        <v>1076</v>
      </c>
      <c r="B80" t="s">
        <v>1077</v>
      </c>
      <c r="C80" t="s">
        <v>1078</v>
      </c>
      <c r="D80" t="s">
        <v>1079</v>
      </c>
      <c r="E80" t="s">
        <v>12</v>
      </c>
      <c r="F80" t="s">
        <v>1080</v>
      </c>
      <c r="G80" t="s">
        <v>1081</v>
      </c>
      <c r="H80" t="s">
        <v>1082</v>
      </c>
      <c r="I80" t="s">
        <v>1083</v>
      </c>
      <c r="J80" t="s">
        <v>1084</v>
      </c>
      <c r="K80" t="s">
        <v>279</v>
      </c>
      <c r="L80" t="s">
        <v>1085</v>
      </c>
      <c r="M80" t="s">
        <v>880</v>
      </c>
      <c r="N80" t="s">
        <v>61</v>
      </c>
      <c r="O80" t="s">
        <v>1086</v>
      </c>
      <c r="P80" t="s">
        <v>173</v>
      </c>
      <c r="Q80" t="s">
        <v>143</v>
      </c>
      <c r="R80" t="s">
        <v>607</v>
      </c>
      <c r="S80" t="s">
        <v>1087</v>
      </c>
      <c r="T80" t="s">
        <v>84</v>
      </c>
      <c r="U80" t="s">
        <v>1080</v>
      </c>
    </row>
    <row r="81" spans="1:21" x14ac:dyDescent="0.25">
      <c r="A81" t="s">
        <v>1088</v>
      </c>
      <c r="B81" t="s">
        <v>1089</v>
      </c>
      <c r="C81" t="s">
        <v>1090</v>
      </c>
      <c r="D81" t="s">
        <v>1091</v>
      </c>
      <c r="E81" t="s">
        <v>12</v>
      </c>
      <c r="F81" t="s">
        <v>1092</v>
      </c>
      <c r="G81" t="s">
        <v>1093</v>
      </c>
      <c r="H81" t="s">
        <v>1094</v>
      </c>
      <c r="I81" t="s">
        <v>1095</v>
      </c>
      <c r="J81" t="s">
        <v>1096</v>
      </c>
      <c r="K81" t="s">
        <v>386</v>
      </c>
      <c r="L81" t="s">
        <v>1097</v>
      </c>
      <c r="M81" t="s">
        <v>156</v>
      </c>
      <c r="N81" t="s">
        <v>61</v>
      </c>
      <c r="O81" t="s">
        <v>1098</v>
      </c>
      <c r="P81" t="s">
        <v>173</v>
      </c>
      <c r="Q81" t="s">
        <v>98</v>
      </c>
      <c r="R81" t="s">
        <v>611</v>
      </c>
      <c r="S81" t="s">
        <v>1099</v>
      </c>
      <c r="T81" t="s">
        <v>159</v>
      </c>
      <c r="U81" t="s">
        <v>1092</v>
      </c>
    </row>
    <row r="82" spans="1:21" x14ac:dyDescent="0.25">
      <c r="A82" t="s">
        <v>1100</v>
      </c>
      <c r="B82" t="s">
        <v>1101</v>
      </c>
      <c r="C82" t="s">
        <v>1102</v>
      </c>
      <c r="D82" t="s">
        <v>1103</v>
      </c>
      <c r="E82" t="s">
        <v>12</v>
      </c>
      <c r="F82" t="s">
        <v>1104</v>
      </c>
      <c r="G82" t="s">
        <v>1105</v>
      </c>
      <c r="H82" t="s">
        <v>1106</v>
      </c>
      <c r="I82" t="s">
        <v>1107</v>
      </c>
      <c r="J82" t="s">
        <v>1108</v>
      </c>
      <c r="K82" t="s">
        <v>1109</v>
      </c>
      <c r="L82" t="s">
        <v>1110</v>
      </c>
      <c r="M82" t="s">
        <v>880</v>
      </c>
      <c r="N82" t="s">
        <v>61</v>
      </c>
      <c r="O82" t="s">
        <v>1111</v>
      </c>
      <c r="P82" t="s">
        <v>113</v>
      </c>
      <c r="Q82" t="s">
        <v>82</v>
      </c>
      <c r="R82" t="s">
        <v>605</v>
      </c>
      <c r="S82" t="s">
        <v>1112</v>
      </c>
      <c r="T82" t="s">
        <v>159</v>
      </c>
      <c r="U82" t="s">
        <v>1104</v>
      </c>
    </row>
    <row r="83" spans="1:21" x14ac:dyDescent="0.25">
      <c r="A83" t="s">
        <v>1113</v>
      </c>
      <c r="B83" t="s">
        <v>1114</v>
      </c>
      <c r="C83" t="s">
        <v>1115</v>
      </c>
      <c r="D83" t="s">
        <v>1116</v>
      </c>
      <c r="E83" t="s">
        <v>12</v>
      </c>
      <c r="F83" t="s">
        <v>1117</v>
      </c>
      <c r="G83" t="s">
        <v>1118</v>
      </c>
      <c r="H83" t="s">
        <v>1119</v>
      </c>
      <c r="I83" t="s">
        <v>1120</v>
      </c>
      <c r="J83" t="s">
        <v>1121</v>
      </c>
      <c r="K83" t="s">
        <v>1122</v>
      </c>
      <c r="L83" t="s">
        <v>703</v>
      </c>
      <c r="M83" t="s">
        <v>96</v>
      </c>
      <c r="N83" t="s">
        <v>61</v>
      </c>
      <c r="O83" t="s">
        <v>1123</v>
      </c>
      <c r="P83" t="s">
        <v>142</v>
      </c>
      <c r="Q83" t="s">
        <v>98</v>
      </c>
      <c r="R83" t="s">
        <v>611</v>
      </c>
      <c r="S83" t="s">
        <v>1124</v>
      </c>
      <c r="T83" t="s">
        <v>84</v>
      </c>
      <c r="U83" t="s">
        <v>1117</v>
      </c>
    </row>
    <row r="84" spans="1:21" x14ac:dyDescent="0.25">
      <c r="A84" t="s">
        <v>1125</v>
      </c>
      <c r="B84" t="s">
        <v>1126</v>
      </c>
      <c r="C84" t="s">
        <v>1127</v>
      </c>
      <c r="D84" t="s">
        <v>1128</v>
      </c>
      <c r="E84" t="s">
        <v>12</v>
      </c>
      <c r="F84" t="s">
        <v>1129</v>
      </c>
      <c r="G84" t="s">
        <v>1130</v>
      </c>
      <c r="H84" t="s">
        <v>1131</v>
      </c>
      <c r="I84" t="s">
        <v>1132</v>
      </c>
      <c r="J84" t="s">
        <v>1133</v>
      </c>
      <c r="K84" t="s">
        <v>169</v>
      </c>
      <c r="L84" t="s">
        <v>1134</v>
      </c>
      <c r="M84" t="s">
        <v>577</v>
      </c>
      <c r="N84" t="s">
        <v>61</v>
      </c>
      <c r="O84" t="s">
        <v>1135</v>
      </c>
      <c r="P84" t="s">
        <v>113</v>
      </c>
      <c r="Q84" t="s">
        <v>98</v>
      </c>
      <c r="R84" t="s">
        <v>611</v>
      </c>
      <c r="S84" t="s">
        <v>1136</v>
      </c>
      <c r="T84" t="s">
        <v>84</v>
      </c>
      <c r="U84" t="s">
        <v>1129</v>
      </c>
    </row>
    <row r="85" spans="1:21" x14ac:dyDescent="0.25">
      <c r="A85" t="s">
        <v>1137</v>
      </c>
      <c r="B85" t="s">
        <v>1138</v>
      </c>
      <c r="C85" t="s">
        <v>1139</v>
      </c>
      <c r="D85" t="s">
        <v>1140</v>
      </c>
      <c r="E85" t="s">
        <v>12</v>
      </c>
      <c r="F85" t="s">
        <v>1141</v>
      </c>
      <c r="G85" t="s">
        <v>1142</v>
      </c>
      <c r="H85" t="s">
        <v>1143</v>
      </c>
      <c r="I85" t="s">
        <v>1144</v>
      </c>
      <c r="J85" t="s">
        <v>1145</v>
      </c>
      <c r="K85" t="s">
        <v>422</v>
      </c>
      <c r="L85" t="s">
        <v>1146</v>
      </c>
      <c r="M85" t="s">
        <v>140</v>
      </c>
      <c r="N85" t="s">
        <v>61</v>
      </c>
      <c r="O85" t="s">
        <v>1147</v>
      </c>
      <c r="P85" t="s">
        <v>142</v>
      </c>
      <c r="Q85" t="s">
        <v>82</v>
      </c>
      <c r="R85" t="s">
        <v>611</v>
      </c>
      <c r="S85" t="s">
        <v>1148</v>
      </c>
      <c r="T85" t="s">
        <v>84</v>
      </c>
      <c r="U85" t="s">
        <v>1141</v>
      </c>
    </row>
    <row r="86" spans="1:21" x14ac:dyDescent="0.25">
      <c r="A86" t="s">
        <v>1149</v>
      </c>
      <c r="B86" t="s">
        <v>1150</v>
      </c>
      <c r="C86" t="s">
        <v>1151</v>
      </c>
      <c r="D86" t="s">
        <v>1152</v>
      </c>
      <c r="E86" t="s">
        <v>12</v>
      </c>
      <c r="F86" t="s">
        <v>1153</v>
      </c>
      <c r="G86" t="s">
        <v>1154</v>
      </c>
      <c r="H86" t="s">
        <v>1155</v>
      </c>
      <c r="I86" t="s">
        <v>1156</v>
      </c>
      <c r="J86" t="s">
        <v>1157</v>
      </c>
      <c r="K86" t="s">
        <v>1158</v>
      </c>
      <c r="L86" t="s">
        <v>855</v>
      </c>
      <c r="M86" t="s">
        <v>156</v>
      </c>
      <c r="N86" t="s">
        <v>61</v>
      </c>
      <c r="O86" t="s">
        <v>1159</v>
      </c>
      <c r="P86" t="s">
        <v>81</v>
      </c>
      <c r="Q86" t="s">
        <v>82</v>
      </c>
      <c r="R86" t="s">
        <v>611</v>
      </c>
      <c r="S86" t="s">
        <v>1160</v>
      </c>
      <c r="T86" t="s">
        <v>84</v>
      </c>
      <c r="U86" t="s">
        <v>1153</v>
      </c>
    </row>
    <row r="87" spans="1:21" x14ac:dyDescent="0.25">
      <c r="A87" t="s">
        <v>1161</v>
      </c>
      <c r="B87" t="s">
        <v>1162</v>
      </c>
      <c r="C87" t="s">
        <v>1163</v>
      </c>
      <c r="D87" t="s">
        <v>1164</v>
      </c>
      <c r="E87" t="s">
        <v>12</v>
      </c>
      <c r="F87" t="s">
        <v>1165</v>
      </c>
      <c r="G87" t="s">
        <v>1166</v>
      </c>
      <c r="H87" t="s">
        <v>1167</v>
      </c>
      <c r="I87" t="s">
        <v>1168</v>
      </c>
      <c r="J87" t="s">
        <v>1169</v>
      </c>
      <c r="K87" t="s">
        <v>1170</v>
      </c>
      <c r="L87" t="s">
        <v>940</v>
      </c>
      <c r="M87" t="s">
        <v>213</v>
      </c>
      <c r="N87" t="s">
        <v>61</v>
      </c>
      <c r="O87" t="s">
        <v>1171</v>
      </c>
      <c r="P87" t="s">
        <v>142</v>
      </c>
      <c r="Q87" t="s">
        <v>143</v>
      </c>
      <c r="R87" t="s">
        <v>608</v>
      </c>
      <c r="S87" t="s">
        <v>1172</v>
      </c>
      <c r="T87" t="s">
        <v>66</v>
      </c>
      <c r="U87" t="s">
        <v>1165</v>
      </c>
    </row>
    <row r="88" spans="1:21" x14ac:dyDescent="0.25">
      <c r="A88" t="s">
        <v>1173</v>
      </c>
      <c r="B88" t="s">
        <v>1174</v>
      </c>
      <c r="C88" t="s">
        <v>1175</v>
      </c>
      <c r="D88" t="s">
        <v>1176</v>
      </c>
      <c r="E88" t="s">
        <v>12</v>
      </c>
      <c r="F88" t="s">
        <v>1177</v>
      </c>
      <c r="G88" t="s">
        <v>1178</v>
      </c>
      <c r="H88" t="s">
        <v>1179</v>
      </c>
      <c r="I88" t="s">
        <v>1180</v>
      </c>
      <c r="J88" t="s">
        <v>1181</v>
      </c>
      <c r="K88" t="s">
        <v>952</v>
      </c>
      <c r="L88" t="s">
        <v>1182</v>
      </c>
      <c r="M88" t="s">
        <v>171</v>
      </c>
      <c r="N88" t="s">
        <v>61</v>
      </c>
      <c r="O88" t="s">
        <v>1183</v>
      </c>
      <c r="P88" t="s">
        <v>81</v>
      </c>
      <c r="Q88" t="s">
        <v>82</v>
      </c>
      <c r="R88" t="s">
        <v>608</v>
      </c>
      <c r="S88" t="s">
        <v>1184</v>
      </c>
      <c r="T88" t="s">
        <v>66</v>
      </c>
      <c r="U88" t="s">
        <v>1177</v>
      </c>
    </row>
    <row r="89" spans="1:21" x14ac:dyDescent="0.25">
      <c r="A89" t="s">
        <v>1185</v>
      </c>
      <c r="B89" t="s">
        <v>1186</v>
      </c>
      <c r="C89" t="s">
        <v>1187</v>
      </c>
      <c r="D89" t="s">
        <v>1188</v>
      </c>
      <c r="E89" t="s">
        <v>12</v>
      </c>
      <c r="F89" t="s">
        <v>1189</v>
      </c>
      <c r="G89" t="s">
        <v>1190</v>
      </c>
      <c r="H89" t="s">
        <v>1191</v>
      </c>
      <c r="I89" t="s">
        <v>1192</v>
      </c>
      <c r="J89" t="s">
        <v>1193</v>
      </c>
      <c r="K89" t="s">
        <v>1194</v>
      </c>
      <c r="L89" t="s">
        <v>266</v>
      </c>
      <c r="M89" t="s">
        <v>361</v>
      </c>
      <c r="N89" t="s">
        <v>61</v>
      </c>
      <c r="O89" t="s">
        <v>1195</v>
      </c>
      <c r="P89" t="s">
        <v>63</v>
      </c>
      <c r="Q89" t="s">
        <v>98</v>
      </c>
      <c r="R89" t="s">
        <v>608</v>
      </c>
      <c r="S89" t="s">
        <v>1196</v>
      </c>
      <c r="T89" t="s">
        <v>159</v>
      </c>
      <c r="U89" t="s">
        <v>1189</v>
      </c>
    </row>
    <row r="90" spans="1:21" x14ac:dyDescent="0.25">
      <c r="A90" t="s">
        <v>1197</v>
      </c>
      <c r="B90" t="s">
        <v>1198</v>
      </c>
      <c r="C90" t="s">
        <v>1199</v>
      </c>
      <c r="D90" t="s">
        <v>1200</v>
      </c>
      <c r="E90" t="s">
        <v>12</v>
      </c>
      <c r="F90" t="s">
        <v>1201</v>
      </c>
      <c r="G90" t="s">
        <v>1202</v>
      </c>
      <c r="H90" t="s">
        <v>1203</v>
      </c>
      <c r="I90" t="s">
        <v>1204</v>
      </c>
      <c r="J90" t="s">
        <v>1205</v>
      </c>
      <c r="K90" t="s">
        <v>1206</v>
      </c>
      <c r="L90" t="s">
        <v>1207</v>
      </c>
      <c r="M90" t="s">
        <v>126</v>
      </c>
      <c r="N90" t="s">
        <v>61</v>
      </c>
      <c r="O90" t="s">
        <v>1208</v>
      </c>
      <c r="P90" t="s">
        <v>63</v>
      </c>
      <c r="Q90" t="s">
        <v>82</v>
      </c>
      <c r="R90" t="s">
        <v>608</v>
      </c>
      <c r="S90" t="s">
        <v>1209</v>
      </c>
      <c r="T90" t="s">
        <v>66</v>
      </c>
      <c r="U90" t="s">
        <v>1201</v>
      </c>
    </row>
    <row r="91" spans="1:21" x14ac:dyDescent="0.25">
      <c r="A91" t="s">
        <v>1210</v>
      </c>
      <c r="B91" t="s">
        <v>1211</v>
      </c>
      <c r="C91" t="s">
        <v>1212</v>
      </c>
      <c r="D91" t="s">
        <v>1213</v>
      </c>
      <c r="E91" t="s">
        <v>12</v>
      </c>
      <c r="F91" t="s">
        <v>1214</v>
      </c>
      <c r="G91" t="s">
        <v>1215</v>
      </c>
      <c r="H91" t="s">
        <v>1216</v>
      </c>
      <c r="I91" t="s">
        <v>92</v>
      </c>
      <c r="J91" t="s">
        <v>1217</v>
      </c>
      <c r="K91" t="s">
        <v>1218</v>
      </c>
      <c r="L91" t="s">
        <v>1219</v>
      </c>
      <c r="M91" t="s">
        <v>411</v>
      </c>
      <c r="N91" t="s">
        <v>61</v>
      </c>
      <c r="O91" t="s">
        <v>1220</v>
      </c>
      <c r="P91" t="s">
        <v>81</v>
      </c>
      <c r="Q91" t="s">
        <v>82</v>
      </c>
      <c r="R91" t="s">
        <v>605</v>
      </c>
      <c r="S91" t="s">
        <v>1221</v>
      </c>
      <c r="T91" t="s">
        <v>66</v>
      </c>
      <c r="U91" t="s">
        <v>1214</v>
      </c>
    </row>
    <row r="92" spans="1:21" x14ac:dyDescent="0.25">
      <c r="A92" t="s">
        <v>1222</v>
      </c>
      <c r="B92" t="s">
        <v>1223</v>
      </c>
      <c r="C92" t="s">
        <v>1224</v>
      </c>
      <c r="D92" t="s">
        <v>1225</v>
      </c>
      <c r="E92" t="s">
        <v>12</v>
      </c>
      <c r="F92" t="s">
        <v>1226</v>
      </c>
      <c r="G92" t="s">
        <v>1227</v>
      </c>
      <c r="H92" t="s">
        <v>1228</v>
      </c>
      <c r="I92" t="s">
        <v>1229</v>
      </c>
      <c r="J92" t="s">
        <v>1230</v>
      </c>
      <c r="K92" t="s">
        <v>1231</v>
      </c>
      <c r="L92" t="s">
        <v>1232</v>
      </c>
      <c r="M92" t="s">
        <v>227</v>
      </c>
      <c r="N92" t="s">
        <v>61</v>
      </c>
      <c r="O92" t="s">
        <v>1233</v>
      </c>
      <c r="P92" t="s">
        <v>63</v>
      </c>
      <c r="Q92" t="s">
        <v>82</v>
      </c>
      <c r="R92" t="s">
        <v>605</v>
      </c>
      <c r="S92" t="s">
        <v>1234</v>
      </c>
      <c r="T92" t="s">
        <v>84</v>
      </c>
      <c r="U92" t="s">
        <v>1226</v>
      </c>
    </row>
    <row r="93" spans="1:21" x14ac:dyDescent="0.25">
      <c r="A93" t="s">
        <v>1235</v>
      </c>
      <c r="B93" t="s">
        <v>1236</v>
      </c>
      <c r="C93" t="s">
        <v>1237</v>
      </c>
      <c r="D93" t="s">
        <v>1238</v>
      </c>
      <c r="E93" t="s">
        <v>12</v>
      </c>
      <c r="F93" t="s">
        <v>1239</v>
      </c>
      <c r="G93" t="s">
        <v>1240</v>
      </c>
      <c r="H93" t="s">
        <v>1241</v>
      </c>
      <c r="I93" t="s">
        <v>1242</v>
      </c>
      <c r="J93" t="s">
        <v>1243</v>
      </c>
      <c r="K93" t="s">
        <v>589</v>
      </c>
      <c r="L93" t="s">
        <v>1244</v>
      </c>
      <c r="M93" t="s">
        <v>577</v>
      </c>
      <c r="N93" t="s">
        <v>61</v>
      </c>
      <c r="O93" t="s">
        <v>1245</v>
      </c>
      <c r="P93" t="s">
        <v>142</v>
      </c>
      <c r="Q93" t="s">
        <v>64</v>
      </c>
      <c r="R93" t="s">
        <v>605</v>
      </c>
      <c r="S93" t="s">
        <v>1246</v>
      </c>
      <c r="T93" t="s">
        <v>159</v>
      </c>
      <c r="U93" t="s">
        <v>1239</v>
      </c>
    </row>
    <row r="94" spans="1:21" x14ac:dyDescent="0.25">
      <c r="A94" t="s">
        <v>1247</v>
      </c>
      <c r="B94" t="s">
        <v>1248</v>
      </c>
      <c r="C94" t="s">
        <v>1249</v>
      </c>
      <c r="D94" t="s">
        <v>1250</v>
      </c>
      <c r="E94" t="s">
        <v>12</v>
      </c>
      <c r="F94" t="s">
        <v>1251</v>
      </c>
      <c r="G94" t="s">
        <v>1252</v>
      </c>
      <c r="H94" t="s">
        <v>1253</v>
      </c>
      <c r="I94" t="s">
        <v>1254</v>
      </c>
      <c r="J94" t="s">
        <v>1255</v>
      </c>
      <c r="K94" t="s">
        <v>1206</v>
      </c>
      <c r="L94" t="s">
        <v>1256</v>
      </c>
      <c r="M94" t="s">
        <v>880</v>
      </c>
      <c r="N94" t="s">
        <v>61</v>
      </c>
      <c r="O94" t="s">
        <v>1257</v>
      </c>
      <c r="P94" t="s">
        <v>113</v>
      </c>
      <c r="Q94" t="s">
        <v>98</v>
      </c>
      <c r="R94" t="s">
        <v>611</v>
      </c>
      <c r="S94" t="s">
        <v>1258</v>
      </c>
      <c r="T94" t="s">
        <v>159</v>
      </c>
      <c r="U94" t="s">
        <v>1251</v>
      </c>
    </row>
    <row r="95" spans="1:21" x14ac:dyDescent="0.25">
      <c r="A95" t="s">
        <v>1259</v>
      </c>
      <c r="B95" t="s">
        <v>1260</v>
      </c>
      <c r="C95" t="s">
        <v>1261</v>
      </c>
      <c r="D95" t="s">
        <v>1262</v>
      </c>
      <c r="E95" t="s">
        <v>12</v>
      </c>
      <c r="F95" t="s">
        <v>1263</v>
      </c>
      <c r="G95" t="s">
        <v>1264</v>
      </c>
      <c r="H95" t="s">
        <v>1265</v>
      </c>
      <c r="I95" t="s">
        <v>1266</v>
      </c>
      <c r="J95" t="s">
        <v>1267</v>
      </c>
      <c r="K95" t="s">
        <v>1109</v>
      </c>
      <c r="L95" t="s">
        <v>1268</v>
      </c>
      <c r="M95" t="s">
        <v>140</v>
      </c>
      <c r="N95" t="s">
        <v>61</v>
      </c>
      <c r="O95" t="s">
        <v>1269</v>
      </c>
      <c r="P95" t="s">
        <v>63</v>
      </c>
      <c r="Q95" t="s">
        <v>143</v>
      </c>
      <c r="R95" t="s">
        <v>605</v>
      </c>
      <c r="S95" t="s">
        <v>1270</v>
      </c>
      <c r="T95" t="s">
        <v>84</v>
      </c>
      <c r="U95" t="s">
        <v>1263</v>
      </c>
    </row>
    <row r="96" spans="1:21" x14ac:dyDescent="0.25">
      <c r="A96" t="s">
        <v>1271</v>
      </c>
      <c r="B96" t="s">
        <v>1272</v>
      </c>
      <c r="C96" t="s">
        <v>1273</v>
      </c>
      <c r="D96" t="s">
        <v>1274</v>
      </c>
      <c r="E96" t="s">
        <v>12</v>
      </c>
      <c r="F96" t="s">
        <v>1275</v>
      </c>
      <c r="G96" t="s">
        <v>1276</v>
      </c>
      <c r="H96" t="s">
        <v>1277</v>
      </c>
      <c r="I96" t="s">
        <v>1278</v>
      </c>
      <c r="J96" t="s">
        <v>1279</v>
      </c>
      <c r="K96" t="s">
        <v>1231</v>
      </c>
      <c r="L96" t="s">
        <v>1280</v>
      </c>
      <c r="M96" t="s">
        <v>655</v>
      </c>
      <c r="N96" t="s">
        <v>61</v>
      </c>
      <c r="O96" t="s">
        <v>1281</v>
      </c>
      <c r="P96" t="s">
        <v>173</v>
      </c>
      <c r="Q96" t="s">
        <v>64</v>
      </c>
      <c r="R96" t="s">
        <v>611</v>
      </c>
      <c r="S96" t="s">
        <v>1282</v>
      </c>
      <c r="T96" t="s">
        <v>66</v>
      </c>
      <c r="U96" t="s">
        <v>1275</v>
      </c>
    </row>
    <row r="97" spans="1:21" x14ac:dyDescent="0.25">
      <c r="A97" t="s">
        <v>1283</v>
      </c>
      <c r="B97" t="s">
        <v>518</v>
      </c>
      <c r="C97" t="s">
        <v>519</v>
      </c>
      <c r="D97" t="s">
        <v>1284</v>
      </c>
      <c r="E97" t="s">
        <v>12</v>
      </c>
      <c r="F97" t="s">
        <v>1285</v>
      </c>
      <c r="G97" t="s">
        <v>1286</v>
      </c>
      <c r="H97" t="s">
        <v>1287</v>
      </c>
      <c r="I97" t="s">
        <v>1288</v>
      </c>
      <c r="J97" t="s">
        <v>1289</v>
      </c>
      <c r="K97" t="s">
        <v>803</v>
      </c>
      <c r="L97" t="s">
        <v>1013</v>
      </c>
      <c r="M97" t="s">
        <v>126</v>
      </c>
      <c r="N97" t="s">
        <v>61</v>
      </c>
      <c r="O97" t="s">
        <v>1290</v>
      </c>
      <c r="P97" t="s">
        <v>113</v>
      </c>
      <c r="Q97" t="s">
        <v>64</v>
      </c>
      <c r="R97" t="s">
        <v>605</v>
      </c>
      <c r="S97" t="s">
        <v>528</v>
      </c>
      <c r="T97" t="s">
        <v>159</v>
      </c>
      <c r="U97" t="s">
        <v>1285</v>
      </c>
    </row>
  </sheetData>
  <pageMargins left="0.511811024" right="0.511811024" top="0.78740157499999996" bottom="0.78740157499999996" header="0.31496062000000002" footer="0.31496062000000002"/>
  <ignoredErrors>
    <ignoredError sqref="A1:W4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A0C14-9C45-44B8-B1F6-3EE1084C4705}">
  <dimension ref="A1:R1016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E2" sqref="E2:H1016"/>
    </sheetView>
  </sheetViews>
  <sheetFormatPr defaultRowHeight="15.75" x14ac:dyDescent="0.25"/>
  <cols>
    <col min="1" max="1" width="10.5" bestFit="1" customWidth="1"/>
    <col min="2" max="2" width="11.875" bestFit="1" customWidth="1"/>
    <col min="3" max="3" width="15.875" style="29" bestFit="1" customWidth="1"/>
    <col min="4" max="4" width="27.375" bestFit="1" customWidth="1"/>
    <col min="5" max="5" width="12.625" style="24" bestFit="1" customWidth="1"/>
    <col min="6" max="6" width="14.875" customWidth="1"/>
    <col min="7" max="7" width="16.75" bestFit="1" customWidth="1"/>
    <col min="8" max="8" width="15.25" bestFit="1" customWidth="1"/>
    <col min="9" max="9" width="21.125" bestFit="1" customWidth="1"/>
    <col min="10" max="10" width="13.75" bestFit="1" customWidth="1"/>
    <col min="11" max="11" width="12.125" bestFit="1" customWidth="1"/>
    <col min="12" max="12" width="11.625" bestFit="1" customWidth="1"/>
    <col min="13" max="13" width="20.625" bestFit="1" customWidth="1"/>
    <col min="14" max="14" width="17" bestFit="1" customWidth="1"/>
    <col min="15" max="15" width="21.25" bestFit="1" customWidth="1"/>
    <col min="16" max="16" width="17.625" bestFit="1" customWidth="1"/>
    <col min="17" max="17" width="15.125" bestFit="1" customWidth="1"/>
    <col min="18" max="18" width="9.125" style="36" bestFit="1" customWidth="1"/>
  </cols>
  <sheetData>
    <row r="1" spans="1:18" x14ac:dyDescent="0.25">
      <c r="A1" t="s">
        <v>2497</v>
      </c>
      <c r="B1" t="s">
        <v>1293</v>
      </c>
      <c r="C1" s="30" t="s">
        <v>2498</v>
      </c>
      <c r="D1" t="s">
        <v>2499</v>
      </c>
      <c r="E1" t="s">
        <v>1294</v>
      </c>
      <c r="F1" t="s">
        <v>1295</v>
      </c>
      <c r="G1" t="s">
        <v>1296</v>
      </c>
      <c r="H1" t="s">
        <v>1297</v>
      </c>
      <c r="I1" t="s">
        <v>2875</v>
      </c>
      <c r="J1" t="s">
        <v>1298</v>
      </c>
      <c r="K1" t="s">
        <v>1299</v>
      </c>
      <c r="L1" t="s">
        <v>2500</v>
      </c>
      <c r="M1" t="s">
        <v>1300</v>
      </c>
      <c r="N1" t="s">
        <v>1301</v>
      </c>
      <c r="O1" t="s">
        <v>1302</v>
      </c>
      <c r="P1" t="s">
        <v>1303</v>
      </c>
      <c r="Q1" t="s">
        <v>2501</v>
      </c>
      <c r="R1" s="36" t="s">
        <v>5826</v>
      </c>
    </row>
    <row r="2" spans="1:18" x14ac:dyDescent="0.25">
      <c r="A2" t="s">
        <v>15</v>
      </c>
      <c r="B2" t="s">
        <v>1526</v>
      </c>
      <c r="C2" s="32" t="s">
        <v>607</v>
      </c>
      <c r="D2" t="s">
        <v>1523</v>
      </c>
      <c r="E2" s="54">
        <v>7139.09</v>
      </c>
      <c r="F2" s="54">
        <v>1366.88</v>
      </c>
      <c r="G2" s="54">
        <v>3633.12</v>
      </c>
      <c r="H2" s="54">
        <v>0</v>
      </c>
      <c r="I2" t="s">
        <v>2876</v>
      </c>
      <c r="J2" s="31">
        <v>1366.88</v>
      </c>
      <c r="K2" s="36" t="s">
        <v>1306</v>
      </c>
      <c r="L2" t="s">
        <v>2504</v>
      </c>
      <c r="M2" t="s">
        <v>1527</v>
      </c>
      <c r="N2" t="s">
        <v>1341</v>
      </c>
      <c r="O2" t="s">
        <v>1528</v>
      </c>
      <c r="P2" t="s">
        <v>1529</v>
      </c>
      <c r="Q2" s="23">
        <v>46201.06753403935</v>
      </c>
      <c r="R2" s="32">
        <f>IF(OR(tbl_de_massas[[#This Row],[dia_vencimento]]="", tbl_de_massas[[#This Row],[dia_vencimento]]="--"), "", WORKDAY(tbl_de_massas[[#This Row],[dia_vencimento]], 5))</f>
        <v>20</v>
      </c>
    </row>
    <row r="3" spans="1:18" x14ac:dyDescent="0.25">
      <c r="A3" t="s">
        <v>18</v>
      </c>
      <c r="B3" t="s">
        <v>1377</v>
      </c>
      <c r="C3" s="32" t="s">
        <v>607</v>
      </c>
      <c r="D3" t="s">
        <v>1378</v>
      </c>
      <c r="E3" s="54">
        <v>1000</v>
      </c>
      <c r="F3" s="54">
        <v>1523.8</v>
      </c>
      <c r="G3" s="54">
        <v>3476.2</v>
      </c>
      <c r="H3" s="54">
        <v>0</v>
      </c>
      <c r="I3" t="s">
        <v>2877</v>
      </c>
      <c r="J3" s="31">
        <v>468.75</v>
      </c>
      <c r="K3" s="36" t="s">
        <v>1306</v>
      </c>
      <c r="L3" t="s">
        <v>2504</v>
      </c>
      <c r="M3" t="s">
        <v>1379</v>
      </c>
      <c r="N3" t="s">
        <v>1380</v>
      </c>
      <c r="O3" t="s">
        <v>67</v>
      </c>
      <c r="Q3" s="23">
        <v>46207.108438657408</v>
      </c>
      <c r="R3" s="32">
        <f>IF(OR(tbl_de_massas[[#This Row],[dia_vencimento]]="", tbl_de_massas[[#This Row],[dia_vencimento]]="--"), "", WORKDAY(tbl_de_massas[[#This Row],[dia_vencimento]], 5))</f>
        <v>20</v>
      </c>
    </row>
    <row r="4" spans="1:18" x14ac:dyDescent="0.25">
      <c r="A4" t="s">
        <v>21</v>
      </c>
      <c r="B4" t="s">
        <v>1924</v>
      </c>
      <c r="C4" s="32" t="s">
        <v>607</v>
      </c>
      <c r="D4" t="s">
        <v>2503</v>
      </c>
      <c r="E4" s="54">
        <v>46645.97</v>
      </c>
      <c r="F4" s="54">
        <v>2800.7</v>
      </c>
      <c r="G4" s="54">
        <v>2199.3000000000002</v>
      </c>
      <c r="H4" s="54">
        <v>0</v>
      </c>
      <c r="I4" t="s">
        <v>2876</v>
      </c>
      <c r="J4" s="31">
        <v>1745.65</v>
      </c>
      <c r="K4" s="36" t="s">
        <v>1306</v>
      </c>
      <c r="L4" t="s">
        <v>2504</v>
      </c>
      <c r="M4" t="s">
        <v>1925</v>
      </c>
      <c r="N4" t="s">
        <v>1926</v>
      </c>
      <c r="O4" t="s">
        <v>67</v>
      </c>
      <c r="Q4" s="23">
        <v>46207.11388247685</v>
      </c>
      <c r="R4" s="32">
        <f>IF(OR(tbl_de_massas[[#This Row],[dia_vencimento]]="", tbl_de_massas[[#This Row],[dia_vencimento]]="--"), "", WORKDAY(tbl_de_massas[[#This Row],[dia_vencimento]], 5))</f>
        <v>20</v>
      </c>
    </row>
    <row r="5" spans="1:18" x14ac:dyDescent="0.25">
      <c r="A5" t="s">
        <v>24</v>
      </c>
      <c r="B5" t="s">
        <v>1766</v>
      </c>
      <c r="C5" s="32" t="s">
        <v>607</v>
      </c>
      <c r="D5" t="s">
        <v>1767</v>
      </c>
      <c r="E5" s="54">
        <v>13951.05</v>
      </c>
      <c r="F5" s="54">
        <v>4751.66</v>
      </c>
      <c r="G5" s="54">
        <v>248.34</v>
      </c>
      <c r="H5" s="54">
        <v>0</v>
      </c>
      <c r="I5" t="s">
        <v>2876</v>
      </c>
      <c r="J5" s="31">
        <v>4751.66</v>
      </c>
      <c r="K5" s="36" t="s">
        <v>1306</v>
      </c>
      <c r="L5" t="s">
        <v>2504</v>
      </c>
      <c r="M5" t="s">
        <v>1768</v>
      </c>
      <c r="N5" t="s">
        <v>1769</v>
      </c>
      <c r="O5" t="s">
        <v>67</v>
      </c>
      <c r="Q5" s="23">
        <v>46207.114163935184</v>
      </c>
      <c r="R5" s="32">
        <f>IF(OR(tbl_de_massas[[#This Row],[dia_vencimento]]="", tbl_de_massas[[#This Row],[dia_vencimento]]="--"), "", WORKDAY(tbl_de_massas[[#This Row],[dia_vencimento]], 5))</f>
        <v>20</v>
      </c>
    </row>
    <row r="6" spans="1:18" x14ac:dyDescent="0.25">
      <c r="A6" t="s">
        <v>27</v>
      </c>
      <c r="B6" t="s">
        <v>1865</v>
      </c>
      <c r="C6" s="32" t="s">
        <v>607</v>
      </c>
      <c r="D6" t="s">
        <v>1866</v>
      </c>
      <c r="E6" s="54">
        <v>1500</v>
      </c>
      <c r="F6" s="54">
        <v>2175.4499999999998</v>
      </c>
      <c r="G6" s="54">
        <v>2824.55</v>
      </c>
      <c r="H6" s="54">
        <v>0</v>
      </c>
      <c r="I6" t="s">
        <v>2877</v>
      </c>
      <c r="J6" s="31">
        <v>1120.4000000000001</v>
      </c>
      <c r="K6" s="36" t="s">
        <v>1306</v>
      </c>
      <c r="L6" t="s">
        <v>2504</v>
      </c>
      <c r="M6" t="s">
        <v>1867</v>
      </c>
      <c r="N6" t="s">
        <v>1868</v>
      </c>
      <c r="O6" t="s">
        <v>67</v>
      </c>
      <c r="Q6" s="23">
        <v>46207.114609317126</v>
      </c>
      <c r="R6" s="32">
        <f>IF(OR(tbl_de_massas[[#This Row],[dia_vencimento]]="", tbl_de_massas[[#This Row],[dia_vencimento]]="--"), "", WORKDAY(tbl_de_massas[[#This Row],[dia_vencimento]], 5))</f>
        <v>20</v>
      </c>
    </row>
    <row r="7" spans="1:18" x14ac:dyDescent="0.25">
      <c r="A7" t="s">
        <v>609</v>
      </c>
      <c r="B7" t="s">
        <v>2007</v>
      </c>
      <c r="C7" s="32" t="s">
        <v>607</v>
      </c>
      <c r="D7" t="s">
        <v>2008</v>
      </c>
      <c r="E7" s="54">
        <v>1000</v>
      </c>
      <c r="F7" s="54">
        <v>1958.94</v>
      </c>
      <c r="G7" s="54">
        <v>3041.06</v>
      </c>
      <c r="H7" s="54">
        <v>0</v>
      </c>
      <c r="I7" t="s">
        <v>2877</v>
      </c>
      <c r="J7" s="31">
        <v>903.89</v>
      </c>
      <c r="K7" s="36" t="s">
        <v>1306</v>
      </c>
      <c r="L7" t="s">
        <v>2504</v>
      </c>
      <c r="M7" t="s">
        <v>2009</v>
      </c>
      <c r="N7" t="s">
        <v>2010</v>
      </c>
      <c r="O7" t="s">
        <v>67</v>
      </c>
      <c r="Q7" s="23">
        <v>46207.114950717594</v>
      </c>
      <c r="R7" s="32">
        <f>IF(OR(tbl_de_massas[[#This Row],[dia_vencimento]]="", tbl_de_massas[[#This Row],[dia_vencimento]]="--"), "", WORKDAY(tbl_de_massas[[#This Row],[dia_vencimento]], 5))</f>
        <v>20</v>
      </c>
    </row>
    <row r="8" spans="1:18" x14ac:dyDescent="0.25">
      <c r="A8" t="s">
        <v>610</v>
      </c>
      <c r="B8" t="s">
        <v>1991</v>
      </c>
      <c r="C8" s="32" t="s">
        <v>607</v>
      </c>
      <c r="D8" t="s">
        <v>1992</v>
      </c>
      <c r="E8" s="54">
        <v>2000</v>
      </c>
      <c r="F8" s="54">
        <v>2800.85</v>
      </c>
      <c r="G8" s="54">
        <v>2199.15</v>
      </c>
      <c r="H8" s="54">
        <v>0</v>
      </c>
      <c r="I8" t="s">
        <v>2877</v>
      </c>
      <c r="J8" s="31">
        <v>1745.8</v>
      </c>
      <c r="K8" s="36" t="s">
        <v>5840</v>
      </c>
      <c r="L8" t="s">
        <v>2502</v>
      </c>
      <c r="M8" t="s">
        <v>1993</v>
      </c>
      <c r="N8" t="s">
        <v>486</v>
      </c>
      <c r="O8" t="s">
        <v>67</v>
      </c>
      <c r="Q8" s="23">
        <v>46207.115591099537</v>
      </c>
      <c r="R8" s="32">
        <f>IF(OR(tbl_de_massas[[#This Row],[dia_vencimento]]="", tbl_de_massas[[#This Row],[dia_vencimento]]="--"), "", WORKDAY(tbl_de_massas[[#This Row],[dia_vencimento]], 5))</f>
        <v>20</v>
      </c>
    </row>
    <row r="9" spans="1:18" x14ac:dyDescent="0.25">
      <c r="A9" t="s">
        <v>612</v>
      </c>
      <c r="B9" t="s">
        <v>1960</v>
      </c>
      <c r="C9" s="32" t="s">
        <v>607</v>
      </c>
      <c r="D9" t="s">
        <v>1961</v>
      </c>
      <c r="E9" s="54">
        <v>2000</v>
      </c>
      <c r="F9" s="54">
        <v>3101.77</v>
      </c>
      <c r="G9" s="54">
        <v>1898.23</v>
      </c>
      <c r="H9" s="54">
        <v>0</v>
      </c>
      <c r="I9" t="s">
        <v>2877</v>
      </c>
      <c r="J9" s="31">
        <v>2046.72</v>
      </c>
      <c r="K9" s="36" t="s">
        <v>5840</v>
      </c>
      <c r="L9" t="s">
        <v>2502</v>
      </c>
      <c r="M9" t="s">
        <v>1962</v>
      </c>
      <c r="N9" t="s">
        <v>1963</v>
      </c>
      <c r="O9" t="s">
        <v>67</v>
      </c>
      <c r="Q9" s="23">
        <v>46207.116051527781</v>
      </c>
      <c r="R9" s="32">
        <f>IF(OR(tbl_de_massas[[#This Row],[dia_vencimento]]="", tbl_de_massas[[#This Row],[dia_vencimento]]="--"), "", WORKDAY(tbl_de_massas[[#This Row],[dia_vencimento]], 5))</f>
        <v>20</v>
      </c>
    </row>
    <row r="10" spans="1:18" x14ac:dyDescent="0.25">
      <c r="A10" t="s">
        <v>614</v>
      </c>
      <c r="B10" t="s">
        <v>1512</v>
      </c>
      <c r="C10" s="32" t="s">
        <v>607</v>
      </c>
      <c r="D10" t="s">
        <v>1513</v>
      </c>
      <c r="E10" s="54">
        <v>2000</v>
      </c>
      <c r="F10" s="54">
        <v>2554.16</v>
      </c>
      <c r="G10" s="54">
        <v>2445.84</v>
      </c>
      <c r="H10" s="54">
        <v>0</v>
      </c>
      <c r="I10" t="s">
        <v>2877</v>
      </c>
      <c r="J10" s="31">
        <v>1499.11</v>
      </c>
      <c r="K10" s="36" t="s">
        <v>5840</v>
      </c>
      <c r="L10" t="s">
        <v>2502</v>
      </c>
      <c r="M10" t="s">
        <v>1514</v>
      </c>
      <c r="N10" t="s">
        <v>1515</v>
      </c>
      <c r="O10" t="s">
        <v>67</v>
      </c>
      <c r="Q10" s="23">
        <v>46207.116757905096</v>
      </c>
      <c r="R10" s="32">
        <f>IF(OR(tbl_de_massas[[#This Row],[dia_vencimento]]="", tbl_de_massas[[#This Row],[dia_vencimento]]="--"), "", WORKDAY(tbl_de_massas[[#This Row],[dia_vencimento]], 5))</f>
        <v>20</v>
      </c>
    </row>
    <row r="11" spans="1:18" x14ac:dyDescent="0.25">
      <c r="A11" t="s">
        <v>613</v>
      </c>
      <c r="B11" t="s">
        <v>1953</v>
      </c>
      <c r="C11" s="32" t="s">
        <v>607</v>
      </c>
      <c r="D11" t="s">
        <v>1954</v>
      </c>
      <c r="E11" s="54">
        <v>1500</v>
      </c>
      <c r="F11" s="54">
        <v>2164.5700000000002</v>
      </c>
      <c r="G11" s="54">
        <v>2835.43</v>
      </c>
      <c r="H11" s="54">
        <v>0</v>
      </c>
      <c r="I11" t="s">
        <v>2877</v>
      </c>
      <c r="J11" s="31">
        <v>1109.52</v>
      </c>
      <c r="K11" s="36" t="s">
        <v>1306</v>
      </c>
      <c r="L11" t="s">
        <v>2504</v>
      </c>
      <c r="M11" t="s">
        <v>1955</v>
      </c>
      <c r="N11" t="s">
        <v>1956</v>
      </c>
      <c r="O11" t="s">
        <v>67</v>
      </c>
      <c r="Q11" s="23">
        <v>46207.117185590279</v>
      </c>
      <c r="R11" s="32">
        <f>IF(OR(tbl_de_massas[[#This Row],[dia_vencimento]]="", tbl_de_massas[[#This Row],[dia_vencimento]]="--"), "", WORKDAY(tbl_de_massas[[#This Row],[dia_vencimento]], 5))</f>
        <v>20</v>
      </c>
    </row>
    <row r="12" spans="1:18" x14ac:dyDescent="0.25">
      <c r="A12" t="s">
        <v>615</v>
      </c>
      <c r="B12" t="s">
        <v>1691</v>
      </c>
      <c r="C12" s="32" t="s">
        <v>607</v>
      </c>
      <c r="D12" t="s">
        <v>1692</v>
      </c>
      <c r="E12" s="54">
        <v>2000</v>
      </c>
      <c r="F12" s="54">
        <v>8162.62</v>
      </c>
      <c r="G12" s="54">
        <v>-3162.62</v>
      </c>
      <c r="H12" s="54">
        <v>0</v>
      </c>
      <c r="I12" t="s">
        <v>2877</v>
      </c>
      <c r="J12" s="31">
        <v>7107.57</v>
      </c>
      <c r="K12" s="36" t="s">
        <v>5841</v>
      </c>
      <c r="L12" t="s">
        <v>2502</v>
      </c>
      <c r="M12" t="s">
        <v>1693</v>
      </c>
      <c r="N12" t="s">
        <v>1694</v>
      </c>
      <c r="O12" t="s">
        <v>67</v>
      </c>
      <c r="Q12" s="23">
        <v>46207.117466516203</v>
      </c>
      <c r="R12" s="32">
        <f>IF(OR(tbl_de_massas[[#This Row],[dia_vencimento]]="", tbl_de_massas[[#This Row],[dia_vencimento]]="--"), "", WORKDAY(tbl_de_massas[[#This Row],[dia_vencimento]], 5))</f>
        <v>20</v>
      </c>
    </row>
    <row r="13" spans="1:18" x14ac:dyDescent="0.25">
      <c r="A13" t="s">
        <v>616</v>
      </c>
      <c r="B13" t="s">
        <v>1509</v>
      </c>
      <c r="C13" s="32" t="s">
        <v>607</v>
      </c>
      <c r="D13" t="s">
        <v>1510</v>
      </c>
      <c r="E13" s="54">
        <v>2000</v>
      </c>
      <c r="F13" s="54">
        <v>1181.25</v>
      </c>
      <c r="G13" s="54">
        <v>3818.75</v>
      </c>
      <c r="H13" s="54">
        <v>0</v>
      </c>
      <c r="I13" t="s">
        <v>2876</v>
      </c>
      <c r="J13" s="31">
        <v>126.2</v>
      </c>
      <c r="K13" s="36" t="s">
        <v>1306</v>
      </c>
      <c r="L13" t="s">
        <v>2504</v>
      </c>
      <c r="M13" t="s">
        <v>1511</v>
      </c>
      <c r="N13" t="s">
        <v>2878</v>
      </c>
      <c r="O13" t="s">
        <v>67</v>
      </c>
      <c r="Q13" s="23">
        <v>46207.118839374998</v>
      </c>
      <c r="R13" s="32">
        <f>IF(OR(tbl_de_massas[[#This Row],[dia_vencimento]]="", tbl_de_massas[[#This Row],[dia_vencimento]]="--"), "", WORKDAY(tbl_de_massas[[#This Row],[dia_vencimento]], 5))</f>
        <v>20</v>
      </c>
    </row>
    <row r="14" spans="1:18" x14ac:dyDescent="0.25">
      <c r="A14" t="s">
        <v>617</v>
      </c>
      <c r="B14" t="s">
        <v>1780</v>
      </c>
      <c r="C14" s="32" t="s">
        <v>607</v>
      </c>
      <c r="D14" t="s">
        <v>1781</v>
      </c>
      <c r="E14" s="54">
        <v>12284.02</v>
      </c>
      <c r="F14" s="54">
        <v>2800.7</v>
      </c>
      <c r="G14" s="54">
        <v>2199.3000000000002</v>
      </c>
      <c r="H14" s="54">
        <v>0</v>
      </c>
      <c r="I14" t="s">
        <v>2876</v>
      </c>
      <c r="J14" s="31">
        <v>1745.65</v>
      </c>
      <c r="K14" s="36" t="s">
        <v>1306</v>
      </c>
      <c r="L14" t="s">
        <v>2504</v>
      </c>
      <c r="M14" t="s">
        <v>1782</v>
      </c>
      <c r="N14" t="s">
        <v>1783</v>
      </c>
      <c r="O14" t="s">
        <v>67</v>
      </c>
      <c r="Q14" s="23">
        <v>46207.119121631942</v>
      </c>
      <c r="R14" s="32">
        <f>IF(OR(tbl_de_massas[[#This Row],[dia_vencimento]]="", tbl_de_massas[[#This Row],[dia_vencimento]]="--"), "", WORKDAY(tbl_de_massas[[#This Row],[dia_vencimento]], 5))</f>
        <v>20</v>
      </c>
    </row>
    <row r="15" spans="1:18" x14ac:dyDescent="0.25">
      <c r="A15" t="s">
        <v>618</v>
      </c>
      <c r="B15" t="s">
        <v>1872</v>
      </c>
      <c r="C15" s="32" t="s">
        <v>607</v>
      </c>
      <c r="D15" t="s">
        <v>1873</v>
      </c>
      <c r="E15" s="54">
        <v>2000</v>
      </c>
      <c r="F15" s="54">
        <v>8121.11</v>
      </c>
      <c r="G15" s="54">
        <v>-3121.11</v>
      </c>
      <c r="H15" s="54">
        <v>0</v>
      </c>
      <c r="I15" t="s">
        <v>2877</v>
      </c>
      <c r="J15" s="31">
        <v>7066.06</v>
      </c>
      <c r="K15" s="36" t="s">
        <v>5841</v>
      </c>
      <c r="L15" t="s">
        <v>2502</v>
      </c>
      <c r="M15" t="s">
        <v>1874</v>
      </c>
      <c r="N15" t="s">
        <v>2879</v>
      </c>
      <c r="O15" t="s">
        <v>67</v>
      </c>
      <c r="Q15" s="23">
        <v>46207.11947766204</v>
      </c>
      <c r="R15" s="32">
        <f>IF(OR(tbl_de_massas[[#This Row],[dia_vencimento]]="", tbl_de_massas[[#This Row],[dia_vencimento]]="--"), "", WORKDAY(tbl_de_massas[[#This Row],[dia_vencimento]], 5))</f>
        <v>20</v>
      </c>
    </row>
    <row r="16" spans="1:18" x14ac:dyDescent="0.25">
      <c r="A16" t="s">
        <v>1291</v>
      </c>
      <c r="B16" t="s">
        <v>1356</v>
      </c>
      <c r="C16" s="32" t="s">
        <v>607</v>
      </c>
      <c r="D16" t="s">
        <v>2505</v>
      </c>
      <c r="E16" s="54">
        <v>2000</v>
      </c>
      <c r="F16" s="54">
        <v>2832.54</v>
      </c>
      <c r="G16" s="54">
        <v>2167.46</v>
      </c>
      <c r="H16" s="54">
        <v>0</v>
      </c>
      <c r="I16" t="s">
        <v>2877</v>
      </c>
      <c r="J16" s="31">
        <v>1777.49</v>
      </c>
      <c r="K16" s="36" t="s">
        <v>5840</v>
      </c>
      <c r="L16" t="s">
        <v>2502</v>
      </c>
      <c r="M16" t="s">
        <v>1357</v>
      </c>
      <c r="N16" t="s">
        <v>1358</v>
      </c>
      <c r="O16" t="s">
        <v>67</v>
      </c>
      <c r="Q16" s="23">
        <v>46207.120921886577</v>
      </c>
      <c r="R16" s="32">
        <f>IF(OR(tbl_de_massas[[#This Row],[dia_vencimento]]="", tbl_de_massas[[#This Row],[dia_vencimento]]="--"), "", WORKDAY(tbl_de_massas[[#This Row],[dia_vencimento]], 5))</f>
        <v>20</v>
      </c>
    </row>
    <row r="17" spans="1:18" x14ac:dyDescent="0.25">
      <c r="A17" t="s">
        <v>2263</v>
      </c>
      <c r="B17" t="s">
        <v>1550</v>
      </c>
      <c r="C17" s="32" t="s">
        <v>607</v>
      </c>
      <c r="D17" t="s">
        <v>2506</v>
      </c>
      <c r="E17" s="54">
        <v>2000</v>
      </c>
      <c r="F17" s="54">
        <v>2443.89</v>
      </c>
      <c r="G17" s="54">
        <v>2556.11</v>
      </c>
      <c r="H17" s="54">
        <v>0</v>
      </c>
      <c r="I17" t="s">
        <v>2877</v>
      </c>
      <c r="J17" s="31">
        <v>1388.84</v>
      </c>
      <c r="K17" s="36" t="s">
        <v>5840</v>
      </c>
      <c r="L17" t="s">
        <v>2502</v>
      </c>
      <c r="M17" t="s">
        <v>1551</v>
      </c>
      <c r="N17" t="s">
        <v>1552</v>
      </c>
      <c r="O17" t="s">
        <v>67</v>
      </c>
      <c r="Q17" s="23">
        <v>46207.121585393521</v>
      </c>
      <c r="R17" s="32">
        <f>IF(OR(tbl_de_massas[[#This Row],[dia_vencimento]]="", tbl_de_massas[[#This Row],[dia_vencimento]]="--"), "", WORKDAY(tbl_de_massas[[#This Row],[dia_vencimento]], 5))</f>
        <v>20</v>
      </c>
    </row>
    <row r="18" spans="1:18" x14ac:dyDescent="0.25">
      <c r="A18" t="s">
        <v>1292</v>
      </c>
      <c r="B18" t="s">
        <v>1352</v>
      </c>
      <c r="C18" s="32" t="s">
        <v>607</v>
      </c>
      <c r="D18" t="s">
        <v>1353</v>
      </c>
      <c r="E18" s="54">
        <v>706.15</v>
      </c>
      <c r="F18" s="54">
        <v>1279.71</v>
      </c>
      <c r="G18" s="54">
        <v>3720.29</v>
      </c>
      <c r="H18" s="54">
        <v>0</v>
      </c>
      <c r="I18" t="s">
        <v>2876</v>
      </c>
      <c r="J18" s="31">
        <v>224.66</v>
      </c>
      <c r="K18" s="36" t="s">
        <v>1306</v>
      </c>
      <c r="L18" t="s">
        <v>2504</v>
      </c>
      <c r="M18" t="s">
        <v>1354</v>
      </c>
      <c r="N18" t="s">
        <v>1355</v>
      </c>
      <c r="O18" t="s">
        <v>67</v>
      </c>
      <c r="Q18" s="23">
        <v>46207.122146226851</v>
      </c>
      <c r="R18" s="32">
        <f>IF(OR(tbl_de_massas[[#This Row],[dia_vencimento]]="", tbl_de_massas[[#This Row],[dia_vencimento]]="--"), "", WORKDAY(tbl_de_massas[[#This Row],[dia_vencimento]], 5))</f>
        <v>20</v>
      </c>
    </row>
    <row r="19" spans="1:18" x14ac:dyDescent="0.25">
      <c r="A19" t="s">
        <v>2264</v>
      </c>
      <c r="B19" t="s">
        <v>2000</v>
      </c>
      <c r="C19" s="32" t="s">
        <v>607</v>
      </c>
      <c r="D19" t="s">
        <v>2001</v>
      </c>
      <c r="E19" s="54">
        <v>2000</v>
      </c>
      <c r="F19" s="54">
        <v>7883.36</v>
      </c>
      <c r="G19" s="54">
        <v>-2883.36</v>
      </c>
      <c r="H19" s="54">
        <v>0</v>
      </c>
      <c r="I19" t="s">
        <v>2877</v>
      </c>
      <c r="J19" s="31">
        <v>6828.31</v>
      </c>
      <c r="K19" s="36" t="s">
        <v>5841</v>
      </c>
      <c r="L19" t="s">
        <v>2502</v>
      </c>
      <c r="M19" t="s">
        <v>2002</v>
      </c>
      <c r="N19" t="s">
        <v>2880</v>
      </c>
      <c r="O19" t="s">
        <v>67</v>
      </c>
      <c r="Q19" s="23">
        <v>46207.12306140046</v>
      </c>
      <c r="R19" s="32">
        <f>IF(OR(tbl_de_massas[[#This Row],[dia_vencimento]]="", tbl_de_massas[[#This Row],[dia_vencimento]]="--"), "", WORKDAY(tbl_de_massas[[#This Row],[dia_vencimento]], 5))</f>
        <v>20</v>
      </c>
    </row>
    <row r="20" spans="1:18" x14ac:dyDescent="0.25">
      <c r="A20" t="s">
        <v>2265</v>
      </c>
      <c r="B20" t="s">
        <v>1468</v>
      </c>
      <c r="C20" s="32" t="s">
        <v>607</v>
      </c>
      <c r="D20" t="s">
        <v>2507</v>
      </c>
      <c r="E20" s="54">
        <v>700.08</v>
      </c>
      <c r="F20" s="54">
        <v>1280.6600000000001</v>
      </c>
      <c r="G20" s="54">
        <v>3719.34</v>
      </c>
      <c r="H20" s="54">
        <v>0</v>
      </c>
      <c r="I20" t="s">
        <v>2876</v>
      </c>
      <c r="J20" s="31">
        <v>225.61</v>
      </c>
      <c r="K20" s="36" t="s">
        <v>1306</v>
      </c>
      <c r="L20" t="s">
        <v>2504</v>
      </c>
      <c r="M20" t="s">
        <v>1469</v>
      </c>
      <c r="N20" t="s">
        <v>1470</v>
      </c>
      <c r="O20" t="s">
        <v>67</v>
      </c>
      <c r="Q20" s="23">
        <v>46207.124362291666</v>
      </c>
      <c r="R20" s="32">
        <f>IF(OR(tbl_de_massas[[#This Row],[dia_vencimento]]="", tbl_de_massas[[#This Row],[dia_vencimento]]="--"), "", WORKDAY(tbl_de_massas[[#This Row],[dia_vencimento]], 5))</f>
        <v>20</v>
      </c>
    </row>
    <row r="21" spans="1:18" x14ac:dyDescent="0.25">
      <c r="A21" t="s">
        <v>2266</v>
      </c>
      <c r="B21" t="s">
        <v>1743</v>
      </c>
      <c r="C21" s="32" t="s">
        <v>607</v>
      </c>
      <c r="D21" t="s">
        <v>2508</v>
      </c>
      <c r="E21" s="54">
        <v>2000</v>
      </c>
      <c r="F21" s="54">
        <v>2758.78</v>
      </c>
      <c r="G21" s="54">
        <v>2241.2199999999998</v>
      </c>
      <c r="H21" s="54">
        <v>0</v>
      </c>
      <c r="I21" t="s">
        <v>2877</v>
      </c>
      <c r="J21" s="31">
        <v>1703.73</v>
      </c>
      <c r="K21" s="36" t="s">
        <v>5840</v>
      </c>
      <c r="L21" t="s">
        <v>2502</v>
      </c>
      <c r="M21" t="s">
        <v>1744</v>
      </c>
      <c r="N21" t="s">
        <v>1745</v>
      </c>
      <c r="O21" t="s">
        <v>67</v>
      </c>
      <c r="Q21" s="23">
        <v>46207.125125219907</v>
      </c>
      <c r="R21" s="32">
        <f>IF(OR(tbl_de_massas[[#This Row],[dia_vencimento]]="", tbl_de_massas[[#This Row],[dia_vencimento]]="--"), "", WORKDAY(tbl_de_massas[[#This Row],[dia_vencimento]], 5))</f>
        <v>20</v>
      </c>
    </row>
    <row r="22" spans="1:18" x14ac:dyDescent="0.25">
      <c r="A22" t="s">
        <v>2267</v>
      </c>
      <c r="B22" t="s">
        <v>1415</v>
      </c>
      <c r="C22" s="32" t="s">
        <v>607</v>
      </c>
      <c r="D22" t="s">
        <v>1416</v>
      </c>
      <c r="E22" s="54">
        <v>2000</v>
      </c>
      <c r="F22" s="54">
        <v>2817.43</v>
      </c>
      <c r="G22" s="54">
        <v>2182.5700000000002</v>
      </c>
      <c r="H22" s="54">
        <v>0</v>
      </c>
      <c r="I22" t="s">
        <v>2877</v>
      </c>
      <c r="J22" s="31">
        <v>1762.38</v>
      </c>
      <c r="K22" s="36" t="s">
        <v>5840</v>
      </c>
      <c r="L22" t="s">
        <v>2502</v>
      </c>
      <c r="M22" t="s">
        <v>1417</v>
      </c>
      <c r="N22" t="s">
        <v>1418</v>
      </c>
      <c r="O22" t="s">
        <v>67</v>
      </c>
      <c r="Q22" s="23">
        <v>46207.127641354164</v>
      </c>
      <c r="R22" s="32">
        <f>IF(OR(tbl_de_massas[[#This Row],[dia_vencimento]]="", tbl_de_massas[[#This Row],[dia_vencimento]]="--"), "", WORKDAY(tbl_de_massas[[#This Row],[dia_vencimento]], 5))</f>
        <v>20</v>
      </c>
    </row>
    <row r="23" spans="1:18" x14ac:dyDescent="0.25">
      <c r="A23" t="s">
        <v>2268</v>
      </c>
      <c r="B23" t="s">
        <v>1381</v>
      </c>
      <c r="C23" s="32" t="s">
        <v>607</v>
      </c>
      <c r="D23" t="s">
        <v>1382</v>
      </c>
      <c r="E23" s="54">
        <v>2000</v>
      </c>
      <c r="F23" s="54">
        <v>2518.7399999999998</v>
      </c>
      <c r="G23" s="54">
        <v>2481.2600000000002</v>
      </c>
      <c r="H23" s="54">
        <v>0</v>
      </c>
      <c r="I23" t="s">
        <v>2877</v>
      </c>
      <c r="J23" s="31">
        <v>1463.69</v>
      </c>
      <c r="K23" s="36" t="s">
        <v>5840</v>
      </c>
      <c r="L23" t="s">
        <v>2502</v>
      </c>
      <c r="M23" t="s">
        <v>1383</v>
      </c>
      <c r="N23" t="s">
        <v>1384</v>
      </c>
      <c r="O23" t="s">
        <v>67</v>
      </c>
      <c r="Q23" s="23">
        <v>46208.004672743053</v>
      </c>
      <c r="R23" s="32">
        <f>IF(OR(tbl_de_massas[[#This Row],[dia_vencimento]]="", tbl_de_massas[[#This Row],[dia_vencimento]]="--"), "", WORKDAY(tbl_de_massas[[#This Row],[dia_vencimento]], 5))</f>
        <v>20</v>
      </c>
    </row>
    <row r="24" spans="1:18" x14ac:dyDescent="0.25">
      <c r="A24" t="s">
        <v>2269</v>
      </c>
      <c r="B24" t="s">
        <v>1324</v>
      </c>
      <c r="C24" s="32" t="s">
        <v>607</v>
      </c>
      <c r="D24" t="s">
        <v>1325</v>
      </c>
      <c r="E24" s="54">
        <v>2000</v>
      </c>
      <c r="F24" s="54">
        <v>1104.78</v>
      </c>
      <c r="G24" s="54">
        <v>3895.22</v>
      </c>
      <c r="H24" s="54">
        <v>0</v>
      </c>
      <c r="I24" t="s">
        <v>2876</v>
      </c>
      <c r="J24" s="31">
        <v>49.73</v>
      </c>
      <c r="K24" s="36" t="s">
        <v>1306</v>
      </c>
      <c r="L24" t="s">
        <v>2504</v>
      </c>
      <c r="M24" t="s">
        <v>1326</v>
      </c>
      <c r="N24" t="s">
        <v>1327</v>
      </c>
      <c r="O24" t="s">
        <v>67</v>
      </c>
      <c r="Q24" s="23">
        <v>46208.0062434375</v>
      </c>
      <c r="R24" s="32">
        <f>IF(OR(tbl_de_massas[[#This Row],[dia_vencimento]]="", tbl_de_massas[[#This Row],[dia_vencimento]]="--"), "", WORKDAY(tbl_de_massas[[#This Row],[dia_vencimento]], 5))</f>
        <v>20</v>
      </c>
    </row>
    <row r="25" spans="1:18" x14ac:dyDescent="0.25">
      <c r="A25" t="s">
        <v>2270</v>
      </c>
      <c r="B25" t="s">
        <v>2082</v>
      </c>
      <c r="C25" s="32" t="s">
        <v>607</v>
      </c>
      <c r="D25" t="s">
        <v>2083</v>
      </c>
      <c r="E25" s="54">
        <v>4.2</v>
      </c>
      <c r="F25" s="54">
        <v>2394.44</v>
      </c>
      <c r="G25" s="54">
        <v>2605.56</v>
      </c>
      <c r="H25" s="54">
        <v>0</v>
      </c>
      <c r="I25" t="s">
        <v>2877</v>
      </c>
      <c r="J25" s="31">
        <v>899.79</v>
      </c>
      <c r="K25" s="36" t="s">
        <v>5840</v>
      </c>
      <c r="L25" t="s">
        <v>2502</v>
      </c>
      <c r="M25" t="s">
        <v>2084</v>
      </c>
      <c r="N25" t="s">
        <v>2085</v>
      </c>
      <c r="O25" t="s">
        <v>67</v>
      </c>
      <c r="Q25" s="23">
        <v>46210.883103067128</v>
      </c>
      <c r="R25" s="32">
        <f>IF(OR(tbl_de_massas[[#This Row],[dia_vencimento]]="", tbl_de_massas[[#This Row],[dia_vencimento]]="--"), "", WORKDAY(tbl_de_massas[[#This Row],[dia_vencimento]], 5))</f>
        <v>20</v>
      </c>
    </row>
    <row r="26" spans="1:18" x14ac:dyDescent="0.25">
      <c r="A26" t="s">
        <v>619</v>
      </c>
      <c r="B26" t="s">
        <v>2091</v>
      </c>
      <c r="C26" s="32" t="s">
        <v>607</v>
      </c>
      <c r="D26" t="s">
        <v>2092</v>
      </c>
      <c r="E26" s="54">
        <v>2000</v>
      </c>
      <c r="F26" s="54">
        <v>8257.73</v>
      </c>
      <c r="G26" s="54">
        <v>-3257.73</v>
      </c>
      <c r="H26" s="54">
        <v>0</v>
      </c>
      <c r="I26" t="s">
        <v>2877</v>
      </c>
      <c r="J26" s="31">
        <v>7202.68</v>
      </c>
      <c r="K26" s="36" t="s">
        <v>5841</v>
      </c>
      <c r="L26" t="s">
        <v>2502</v>
      </c>
      <c r="M26" t="s">
        <v>2093</v>
      </c>
      <c r="N26" t="s">
        <v>2094</v>
      </c>
      <c r="O26" t="s">
        <v>67</v>
      </c>
      <c r="Q26" s="23">
        <v>46210.912744687499</v>
      </c>
      <c r="R26" s="32">
        <f>IF(OR(tbl_de_massas[[#This Row],[dia_vencimento]]="", tbl_de_massas[[#This Row],[dia_vencimento]]="--"), "", WORKDAY(tbl_de_massas[[#This Row],[dia_vencimento]], 5))</f>
        <v>20</v>
      </c>
    </row>
    <row r="27" spans="1:18" x14ac:dyDescent="0.25">
      <c r="A27" t="s">
        <v>2271</v>
      </c>
      <c r="B27" t="s">
        <v>1946</v>
      </c>
      <c r="C27" s="32" t="s">
        <v>607</v>
      </c>
      <c r="D27" t="s">
        <v>1947</v>
      </c>
      <c r="E27" s="54">
        <v>2000</v>
      </c>
      <c r="F27" s="54">
        <v>2968.61</v>
      </c>
      <c r="G27" s="54">
        <v>2031.39</v>
      </c>
      <c r="H27" s="54">
        <v>0</v>
      </c>
      <c r="I27" t="s">
        <v>2877</v>
      </c>
      <c r="J27" s="31">
        <v>1913.56</v>
      </c>
      <c r="K27" s="36" t="s">
        <v>5840</v>
      </c>
      <c r="L27" t="s">
        <v>2502</v>
      </c>
      <c r="M27" t="s">
        <v>1948</v>
      </c>
      <c r="N27" t="s">
        <v>1949</v>
      </c>
      <c r="O27" t="s">
        <v>67</v>
      </c>
      <c r="Q27" s="23">
        <v>46212.765254282407</v>
      </c>
      <c r="R27" s="32">
        <f>IF(OR(tbl_de_massas[[#This Row],[dia_vencimento]]="", tbl_de_massas[[#This Row],[dia_vencimento]]="--"), "", WORKDAY(tbl_de_massas[[#This Row],[dia_vencimento]], 5))</f>
        <v>20</v>
      </c>
    </row>
    <row r="28" spans="1:18" x14ac:dyDescent="0.25">
      <c r="A28" t="s">
        <v>2272</v>
      </c>
      <c r="B28" t="s">
        <v>1335</v>
      </c>
      <c r="C28" s="32" t="s">
        <v>607</v>
      </c>
      <c r="D28" t="s">
        <v>2509</v>
      </c>
      <c r="E28" s="54">
        <v>2000</v>
      </c>
      <c r="F28" s="54">
        <v>1210.45</v>
      </c>
      <c r="G28" s="54">
        <v>3789.55</v>
      </c>
      <c r="H28" s="54">
        <v>0</v>
      </c>
      <c r="I28" t="s">
        <v>2876</v>
      </c>
      <c r="J28" s="31">
        <v>155.4</v>
      </c>
      <c r="K28" s="36" t="s">
        <v>1306</v>
      </c>
      <c r="L28" t="s">
        <v>2504</v>
      </c>
      <c r="M28" t="s">
        <v>1336</v>
      </c>
      <c r="N28" t="s">
        <v>1337</v>
      </c>
      <c r="O28" t="s">
        <v>67</v>
      </c>
      <c r="Q28" s="23">
        <v>46212.766635023145</v>
      </c>
      <c r="R28" s="32">
        <f>IF(OR(tbl_de_massas[[#This Row],[dia_vencimento]]="", tbl_de_massas[[#This Row],[dia_vencimento]]="--"), "", WORKDAY(tbl_de_massas[[#This Row],[dia_vencimento]], 5))</f>
        <v>20</v>
      </c>
    </row>
    <row r="29" spans="1:18" x14ac:dyDescent="0.25">
      <c r="A29" t="s">
        <v>2273</v>
      </c>
      <c r="B29" t="s">
        <v>1404</v>
      </c>
      <c r="C29" s="32" t="s">
        <v>607</v>
      </c>
      <c r="D29" t="s">
        <v>1405</v>
      </c>
      <c r="E29" s="54">
        <v>2000</v>
      </c>
      <c r="F29" s="54">
        <v>2502.19</v>
      </c>
      <c r="G29" s="54">
        <v>2497.81</v>
      </c>
      <c r="H29" s="54">
        <v>0</v>
      </c>
      <c r="I29" t="s">
        <v>2877</v>
      </c>
      <c r="J29" s="31">
        <v>1447.14</v>
      </c>
      <c r="K29" s="36" t="s">
        <v>5840</v>
      </c>
      <c r="L29" t="s">
        <v>2502</v>
      </c>
      <c r="M29" t="s">
        <v>1406</v>
      </c>
      <c r="N29" t="s">
        <v>1407</v>
      </c>
      <c r="O29" t="s">
        <v>67</v>
      </c>
      <c r="Q29" s="23">
        <v>46212.770143298614</v>
      </c>
      <c r="R29" s="32">
        <f>IF(OR(tbl_de_massas[[#This Row],[dia_vencimento]]="", tbl_de_massas[[#This Row],[dia_vencimento]]="--"), "", WORKDAY(tbl_de_massas[[#This Row],[dia_vencimento]], 5))</f>
        <v>20</v>
      </c>
    </row>
    <row r="30" spans="1:18" x14ac:dyDescent="0.25">
      <c r="A30" t="s">
        <v>2274</v>
      </c>
      <c r="B30" t="s">
        <v>2086</v>
      </c>
      <c r="C30" s="32" t="s">
        <v>607</v>
      </c>
      <c r="D30" t="s">
        <v>2083</v>
      </c>
      <c r="E30" s="54">
        <v>2000</v>
      </c>
      <c r="F30" s="54">
        <v>7993.96</v>
      </c>
      <c r="G30" s="54">
        <v>-2993.96</v>
      </c>
      <c r="H30" s="54">
        <v>0</v>
      </c>
      <c r="I30" t="s">
        <v>2877</v>
      </c>
      <c r="J30" s="31">
        <v>6938.91</v>
      </c>
      <c r="K30" s="36" t="s">
        <v>5841</v>
      </c>
      <c r="L30" t="s">
        <v>2502</v>
      </c>
      <c r="M30" t="s">
        <v>2087</v>
      </c>
      <c r="N30" t="s">
        <v>1504</v>
      </c>
      <c r="O30" t="s">
        <v>67</v>
      </c>
      <c r="Q30" s="23">
        <v>46218.781982615743</v>
      </c>
      <c r="R30" s="32">
        <f>IF(OR(tbl_de_massas[[#This Row],[dia_vencimento]]="", tbl_de_massas[[#This Row],[dia_vencimento]]="--"), "", WORKDAY(tbl_de_massas[[#This Row],[dia_vencimento]], 5))</f>
        <v>20</v>
      </c>
    </row>
    <row r="31" spans="1:18" x14ac:dyDescent="0.25">
      <c r="A31" t="s">
        <v>2275</v>
      </c>
      <c r="B31" t="s">
        <v>1688</v>
      </c>
      <c r="C31" s="32" t="s">
        <v>607</v>
      </c>
      <c r="D31" t="s">
        <v>1685</v>
      </c>
      <c r="E31" s="54">
        <v>2000</v>
      </c>
      <c r="F31" s="54">
        <v>2832.22</v>
      </c>
      <c r="G31" s="54">
        <v>2167.7800000000002</v>
      </c>
      <c r="H31" s="54">
        <v>0</v>
      </c>
      <c r="I31" t="s">
        <v>2877</v>
      </c>
      <c r="J31" s="31">
        <v>1777.17</v>
      </c>
      <c r="K31" s="36" t="s">
        <v>5840</v>
      </c>
      <c r="L31" t="s">
        <v>2502</v>
      </c>
      <c r="M31" t="s">
        <v>1689</v>
      </c>
      <c r="N31" t="s">
        <v>1690</v>
      </c>
      <c r="O31" t="s">
        <v>67</v>
      </c>
      <c r="Q31" s="23">
        <v>46218.892523483795</v>
      </c>
      <c r="R31" s="32">
        <f>IF(OR(tbl_de_massas[[#This Row],[dia_vencimento]]="", tbl_de_massas[[#This Row],[dia_vencimento]]="--"), "", WORKDAY(tbl_de_massas[[#This Row],[dia_vencimento]], 5))</f>
        <v>20</v>
      </c>
    </row>
    <row r="32" spans="1:18" x14ac:dyDescent="0.25">
      <c r="A32" t="s">
        <v>2276</v>
      </c>
      <c r="B32" t="s">
        <v>1684</v>
      </c>
      <c r="C32" s="32" t="s">
        <v>607</v>
      </c>
      <c r="D32" t="s">
        <v>1685</v>
      </c>
      <c r="E32" s="54">
        <v>2000</v>
      </c>
      <c r="F32" s="54">
        <v>1964.35</v>
      </c>
      <c r="G32" s="54">
        <v>3035.65</v>
      </c>
      <c r="H32" s="54">
        <v>0</v>
      </c>
      <c r="I32" t="s">
        <v>2877</v>
      </c>
      <c r="J32" s="31">
        <v>909.3</v>
      </c>
      <c r="K32" s="36" t="s">
        <v>5840</v>
      </c>
      <c r="L32" t="s">
        <v>2502</v>
      </c>
      <c r="M32" t="s">
        <v>1686</v>
      </c>
      <c r="N32" t="s">
        <v>1687</v>
      </c>
      <c r="O32" t="s">
        <v>67</v>
      </c>
      <c r="Q32" s="23">
        <v>46218.896194224537</v>
      </c>
      <c r="R32" s="32">
        <f>IF(OR(tbl_de_massas[[#This Row],[dia_vencimento]]="", tbl_de_massas[[#This Row],[dia_vencimento]]="--"), "", WORKDAY(tbl_de_massas[[#This Row],[dia_vencimento]], 5))</f>
        <v>20</v>
      </c>
    </row>
    <row r="33" spans="1:18" x14ac:dyDescent="0.25">
      <c r="A33" t="s">
        <v>2277</v>
      </c>
      <c r="B33" t="s">
        <v>1675</v>
      </c>
      <c r="C33" s="32" t="s">
        <v>607</v>
      </c>
      <c r="D33" t="s">
        <v>1676</v>
      </c>
      <c r="E33" s="54">
        <v>2000</v>
      </c>
      <c r="F33" s="54">
        <v>2600.91</v>
      </c>
      <c r="G33" s="54">
        <v>2399.09</v>
      </c>
      <c r="H33" s="54">
        <v>0</v>
      </c>
      <c r="I33" t="s">
        <v>2877</v>
      </c>
      <c r="J33" s="31">
        <v>1545.86</v>
      </c>
      <c r="K33" s="36" t="s">
        <v>5840</v>
      </c>
      <c r="L33" t="s">
        <v>2502</v>
      </c>
      <c r="M33" t="s">
        <v>1677</v>
      </c>
      <c r="N33" t="s">
        <v>1279</v>
      </c>
      <c r="O33" t="s">
        <v>67</v>
      </c>
      <c r="Q33" s="23">
        <v>46222.01283388889</v>
      </c>
      <c r="R33" s="32">
        <f>IF(OR(tbl_de_massas[[#This Row],[dia_vencimento]]="", tbl_de_massas[[#This Row],[dia_vencimento]]="--"), "", WORKDAY(tbl_de_massas[[#This Row],[dia_vencimento]], 5))</f>
        <v>20</v>
      </c>
    </row>
    <row r="34" spans="1:18" x14ac:dyDescent="0.25">
      <c r="A34" t="s">
        <v>2278</v>
      </c>
      <c r="B34" t="s">
        <v>1569</v>
      </c>
      <c r="C34" s="32" t="s">
        <v>607</v>
      </c>
      <c r="D34" t="s">
        <v>1570</v>
      </c>
      <c r="E34" s="54">
        <v>2000</v>
      </c>
      <c r="F34" s="54">
        <v>3252.17</v>
      </c>
      <c r="G34" s="54">
        <v>1747.83</v>
      </c>
      <c r="H34" s="54">
        <v>0</v>
      </c>
      <c r="I34" t="s">
        <v>2877</v>
      </c>
      <c r="J34" s="31">
        <v>2197.12</v>
      </c>
      <c r="K34" s="36" t="s">
        <v>5840</v>
      </c>
      <c r="L34" t="s">
        <v>2502</v>
      </c>
      <c r="M34" t="s">
        <v>1571</v>
      </c>
      <c r="N34" t="s">
        <v>1572</v>
      </c>
      <c r="O34" t="s">
        <v>67</v>
      </c>
      <c r="Q34" s="23">
        <v>46222.024896759256</v>
      </c>
      <c r="R34" s="32">
        <f>IF(OR(tbl_de_massas[[#This Row],[dia_vencimento]]="", tbl_de_massas[[#This Row],[dia_vencimento]]="--"), "", WORKDAY(tbl_de_massas[[#This Row],[dia_vencimento]], 5))</f>
        <v>20</v>
      </c>
    </row>
    <row r="35" spans="1:18" x14ac:dyDescent="0.25">
      <c r="A35" t="s">
        <v>2279</v>
      </c>
      <c r="B35" t="s">
        <v>1328</v>
      </c>
      <c r="C35" s="32" t="s">
        <v>607</v>
      </c>
      <c r="D35" t="s">
        <v>1329</v>
      </c>
      <c r="E35" s="54">
        <v>2000</v>
      </c>
      <c r="F35" s="54">
        <v>3326.5</v>
      </c>
      <c r="G35" s="54">
        <v>1673.5</v>
      </c>
      <c r="H35" s="54">
        <v>0</v>
      </c>
      <c r="I35" t="s">
        <v>2877</v>
      </c>
      <c r="J35" s="31">
        <v>2271.4499999999998</v>
      </c>
      <c r="K35" s="36" t="s">
        <v>5840</v>
      </c>
      <c r="L35" t="s">
        <v>2502</v>
      </c>
      <c r="M35" t="s">
        <v>1330</v>
      </c>
      <c r="N35" t="s">
        <v>1331</v>
      </c>
      <c r="O35" t="s">
        <v>67</v>
      </c>
      <c r="Q35" s="23">
        <v>46222.026214259262</v>
      </c>
      <c r="R35" s="32">
        <f>IF(OR(tbl_de_massas[[#This Row],[dia_vencimento]]="", tbl_de_massas[[#This Row],[dia_vencimento]]="--"), "", WORKDAY(tbl_de_massas[[#This Row],[dia_vencimento]], 5))</f>
        <v>20</v>
      </c>
    </row>
    <row r="36" spans="1:18" x14ac:dyDescent="0.25">
      <c r="A36" t="s">
        <v>2280</v>
      </c>
      <c r="B36" t="s">
        <v>1889</v>
      </c>
      <c r="C36" s="32" t="s">
        <v>607</v>
      </c>
      <c r="D36" t="s">
        <v>1890</v>
      </c>
      <c r="E36" s="54">
        <v>2000</v>
      </c>
      <c r="F36" s="54">
        <v>3148.35</v>
      </c>
      <c r="G36" s="54">
        <v>1851.65</v>
      </c>
      <c r="H36" s="54">
        <v>0</v>
      </c>
      <c r="I36" t="s">
        <v>2877</v>
      </c>
      <c r="J36" s="31">
        <v>2093.3000000000002</v>
      </c>
      <c r="K36" s="36" t="s">
        <v>5840</v>
      </c>
      <c r="L36" t="s">
        <v>2502</v>
      </c>
      <c r="M36" t="s">
        <v>1891</v>
      </c>
      <c r="N36" t="s">
        <v>1892</v>
      </c>
      <c r="O36" t="s">
        <v>67</v>
      </c>
      <c r="Q36" s="23">
        <v>46222.026569004629</v>
      </c>
      <c r="R36" s="32">
        <f>IF(OR(tbl_de_massas[[#This Row],[dia_vencimento]]="", tbl_de_massas[[#This Row],[dia_vencimento]]="--"), "", WORKDAY(tbl_de_massas[[#This Row],[dia_vencimento]], 5))</f>
        <v>20</v>
      </c>
    </row>
    <row r="37" spans="1:18" x14ac:dyDescent="0.25">
      <c r="A37" t="s">
        <v>2281</v>
      </c>
      <c r="B37" t="s">
        <v>1385</v>
      </c>
      <c r="C37" s="32" t="s">
        <v>607</v>
      </c>
      <c r="D37" t="s">
        <v>1386</v>
      </c>
      <c r="E37" s="54">
        <v>2000</v>
      </c>
      <c r="F37" s="54">
        <v>2734.23</v>
      </c>
      <c r="G37" s="54">
        <v>2265.77</v>
      </c>
      <c r="H37" s="54">
        <v>0</v>
      </c>
      <c r="I37" t="s">
        <v>2877</v>
      </c>
      <c r="J37" s="31">
        <v>1679.18</v>
      </c>
      <c r="K37" s="36" t="s">
        <v>5840</v>
      </c>
      <c r="L37" t="s">
        <v>2502</v>
      </c>
      <c r="M37" t="s">
        <v>1387</v>
      </c>
      <c r="N37" t="s">
        <v>1388</v>
      </c>
      <c r="O37" t="s">
        <v>67</v>
      </c>
      <c r="Q37" s="23">
        <v>46222.027201446763</v>
      </c>
      <c r="R37" s="32">
        <f>IF(OR(tbl_de_massas[[#This Row],[dia_vencimento]]="", tbl_de_massas[[#This Row],[dia_vencimento]]="--"), "", WORKDAY(tbl_de_massas[[#This Row],[dia_vencimento]], 5))</f>
        <v>20</v>
      </c>
    </row>
    <row r="38" spans="1:18" x14ac:dyDescent="0.25">
      <c r="A38" t="s">
        <v>2282</v>
      </c>
      <c r="B38" t="s">
        <v>1486</v>
      </c>
      <c r="C38" s="32" t="s">
        <v>607</v>
      </c>
      <c r="D38" t="s">
        <v>1487</v>
      </c>
      <c r="E38" s="54">
        <v>2000</v>
      </c>
      <c r="F38" s="54">
        <v>2801.06</v>
      </c>
      <c r="G38" s="54">
        <v>2198.94</v>
      </c>
      <c r="H38" s="54">
        <v>0</v>
      </c>
      <c r="I38" t="s">
        <v>2877</v>
      </c>
      <c r="J38" s="31">
        <v>1746.01</v>
      </c>
      <c r="K38" s="36" t="s">
        <v>5840</v>
      </c>
      <c r="L38" t="s">
        <v>2502</v>
      </c>
      <c r="M38" t="s">
        <v>1488</v>
      </c>
      <c r="N38" t="s">
        <v>1489</v>
      </c>
      <c r="O38" t="s">
        <v>67</v>
      </c>
      <c r="Q38" s="23">
        <v>46222.283920752314</v>
      </c>
      <c r="R38" s="32">
        <f>IF(OR(tbl_de_massas[[#This Row],[dia_vencimento]]="", tbl_de_massas[[#This Row],[dia_vencimento]]="--"), "", WORKDAY(tbl_de_massas[[#This Row],[dia_vencimento]], 5))</f>
        <v>20</v>
      </c>
    </row>
    <row r="39" spans="1:18" x14ac:dyDescent="0.25">
      <c r="A39" t="s">
        <v>2283</v>
      </c>
      <c r="B39" t="s">
        <v>1471</v>
      </c>
      <c r="C39" s="32" t="s">
        <v>607</v>
      </c>
      <c r="D39" t="s">
        <v>1472</v>
      </c>
      <c r="E39" s="54">
        <v>2000</v>
      </c>
      <c r="F39" s="54">
        <v>2628.78</v>
      </c>
      <c r="G39" s="54">
        <v>2371.2199999999998</v>
      </c>
      <c r="H39" s="54">
        <v>0</v>
      </c>
      <c r="I39" t="s">
        <v>2877</v>
      </c>
      <c r="J39" s="31">
        <v>1573.73</v>
      </c>
      <c r="K39" s="36" t="s">
        <v>5840</v>
      </c>
      <c r="L39" t="s">
        <v>2502</v>
      </c>
      <c r="M39" t="s">
        <v>1473</v>
      </c>
      <c r="N39" t="s">
        <v>1474</v>
      </c>
      <c r="O39" t="s">
        <v>67</v>
      </c>
      <c r="Q39" s="23">
        <v>46222.293015902775</v>
      </c>
      <c r="R39" s="32">
        <f>IF(OR(tbl_de_massas[[#This Row],[dia_vencimento]]="", tbl_de_massas[[#This Row],[dia_vencimento]]="--"), "", WORKDAY(tbl_de_massas[[#This Row],[dia_vencimento]], 5))</f>
        <v>20</v>
      </c>
    </row>
    <row r="40" spans="1:18" x14ac:dyDescent="0.25">
      <c r="A40" t="s">
        <v>2284</v>
      </c>
      <c r="B40" t="s">
        <v>1316</v>
      </c>
      <c r="C40" s="32" t="s">
        <v>607</v>
      </c>
      <c r="D40" t="s">
        <v>1317</v>
      </c>
      <c r="E40" s="54">
        <v>18661.18</v>
      </c>
      <c r="F40" s="54">
        <v>2757.76</v>
      </c>
      <c r="G40" s="54">
        <v>7242.24</v>
      </c>
      <c r="H40" s="54">
        <v>0</v>
      </c>
      <c r="I40" t="s">
        <v>2876</v>
      </c>
      <c r="J40" s="31">
        <v>1702.71</v>
      </c>
      <c r="K40" s="36" t="s">
        <v>1306</v>
      </c>
      <c r="L40" t="s">
        <v>2504</v>
      </c>
      <c r="M40" t="s">
        <v>1318</v>
      </c>
      <c r="N40" t="s">
        <v>1319</v>
      </c>
      <c r="O40" t="s">
        <v>67</v>
      </c>
      <c r="Q40" s="23">
        <v>46222.294918333333</v>
      </c>
      <c r="R40" s="32">
        <f>IF(OR(tbl_de_massas[[#This Row],[dia_vencimento]]="", tbl_de_massas[[#This Row],[dia_vencimento]]="--"), "", WORKDAY(tbl_de_massas[[#This Row],[dia_vencimento]], 5))</f>
        <v>20</v>
      </c>
    </row>
    <row r="41" spans="1:18" x14ac:dyDescent="0.25">
      <c r="A41" t="s">
        <v>2285</v>
      </c>
      <c r="B41" t="s">
        <v>2011</v>
      </c>
      <c r="C41" s="32" t="s">
        <v>607</v>
      </c>
      <c r="D41" t="s">
        <v>2510</v>
      </c>
      <c r="E41" s="54">
        <v>2000</v>
      </c>
      <c r="F41" s="54">
        <v>8337.7999999999993</v>
      </c>
      <c r="G41" s="54">
        <v>-3337.8</v>
      </c>
      <c r="H41" s="54">
        <v>0</v>
      </c>
      <c r="I41" t="s">
        <v>2877</v>
      </c>
      <c r="J41" s="31">
        <v>7282.75</v>
      </c>
      <c r="K41" s="36" t="s">
        <v>5841</v>
      </c>
      <c r="L41" t="s">
        <v>2502</v>
      </c>
      <c r="M41" t="s">
        <v>2012</v>
      </c>
      <c r="N41" t="s">
        <v>2013</v>
      </c>
      <c r="O41" t="s">
        <v>67</v>
      </c>
      <c r="Q41" s="23">
        <v>46222.298154641205</v>
      </c>
      <c r="R41" s="32">
        <f>IF(OR(tbl_de_massas[[#This Row],[dia_vencimento]]="", tbl_de_massas[[#This Row],[dia_vencimento]]="--"), "", WORKDAY(tbl_de_massas[[#This Row],[dia_vencimento]], 5))</f>
        <v>20</v>
      </c>
    </row>
    <row r="42" spans="1:18" x14ac:dyDescent="0.25">
      <c r="A42" t="s">
        <v>2286</v>
      </c>
      <c r="B42" t="s">
        <v>1304</v>
      </c>
      <c r="C42" s="32" t="s">
        <v>607</v>
      </c>
      <c r="D42" t="s">
        <v>1305</v>
      </c>
      <c r="E42" s="54">
        <v>737.33</v>
      </c>
      <c r="F42" s="54">
        <v>1250.82</v>
      </c>
      <c r="G42" s="54">
        <v>3749.18</v>
      </c>
      <c r="H42" s="54">
        <v>0</v>
      </c>
      <c r="I42" t="s">
        <v>2876</v>
      </c>
      <c r="J42" s="31">
        <v>195.77</v>
      </c>
      <c r="K42" s="36" t="s">
        <v>1306</v>
      </c>
      <c r="L42" t="s">
        <v>2504</v>
      </c>
      <c r="M42" t="s">
        <v>1307</v>
      </c>
      <c r="N42" t="s">
        <v>588</v>
      </c>
      <c r="O42" t="s">
        <v>67</v>
      </c>
      <c r="Q42" s="23">
        <v>46222.633200682867</v>
      </c>
      <c r="R42" s="32">
        <f>IF(OR(tbl_de_massas[[#This Row],[dia_vencimento]]="", tbl_de_massas[[#This Row],[dia_vencimento]]="--"), "", WORKDAY(tbl_de_massas[[#This Row],[dia_vencimento]], 5))</f>
        <v>20</v>
      </c>
    </row>
    <row r="43" spans="1:18" x14ac:dyDescent="0.25">
      <c r="A43" t="s">
        <v>2287</v>
      </c>
      <c r="B43" t="s">
        <v>1423</v>
      </c>
      <c r="C43" s="32" t="s">
        <v>607</v>
      </c>
      <c r="D43" t="s">
        <v>1424</v>
      </c>
      <c r="E43" s="54">
        <v>2000</v>
      </c>
      <c r="F43" s="54">
        <v>2764.22</v>
      </c>
      <c r="G43" s="54">
        <v>2235.7800000000002</v>
      </c>
      <c r="H43" s="54">
        <v>0</v>
      </c>
      <c r="I43" t="s">
        <v>2877</v>
      </c>
      <c r="J43" s="31">
        <v>1709.17</v>
      </c>
      <c r="K43" s="36" t="s">
        <v>5840</v>
      </c>
      <c r="L43" t="s">
        <v>2502</v>
      </c>
      <c r="M43" t="s">
        <v>1425</v>
      </c>
      <c r="N43" t="s">
        <v>1426</v>
      </c>
      <c r="O43" t="s">
        <v>67</v>
      </c>
      <c r="Q43" s="23">
        <v>46222.954343935184</v>
      </c>
      <c r="R43" s="32">
        <f>IF(OR(tbl_de_massas[[#This Row],[dia_vencimento]]="", tbl_de_massas[[#This Row],[dia_vencimento]]="--"), "", WORKDAY(tbl_de_massas[[#This Row],[dia_vencimento]], 5))</f>
        <v>20</v>
      </c>
    </row>
    <row r="44" spans="1:18" x14ac:dyDescent="0.25">
      <c r="A44" t="s">
        <v>2288</v>
      </c>
      <c r="B44" t="s">
        <v>1957</v>
      </c>
      <c r="C44" s="32" t="s">
        <v>607</v>
      </c>
      <c r="D44" t="s">
        <v>1958</v>
      </c>
      <c r="E44" s="54">
        <v>2000</v>
      </c>
      <c r="F44" s="54">
        <v>2885.12</v>
      </c>
      <c r="G44" s="54">
        <v>2114.88</v>
      </c>
      <c r="H44" s="54">
        <v>0</v>
      </c>
      <c r="I44" t="s">
        <v>2877</v>
      </c>
      <c r="J44" s="31">
        <v>1830.07</v>
      </c>
      <c r="K44" s="36" t="s">
        <v>5840</v>
      </c>
      <c r="L44" t="s">
        <v>2502</v>
      </c>
      <c r="M44" t="s">
        <v>1959</v>
      </c>
      <c r="N44" t="s">
        <v>1426</v>
      </c>
      <c r="O44" t="s">
        <v>67</v>
      </c>
      <c r="Q44" s="23">
        <v>46222.95762671296</v>
      </c>
      <c r="R44" s="32">
        <f>IF(OR(tbl_de_massas[[#This Row],[dia_vencimento]]="", tbl_de_massas[[#This Row],[dia_vencimento]]="--"), "", WORKDAY(tbl_de_massas[[#This Row],[dia_vencimento]], 5))</f>
        <v>20</v>
      </c>
    </row>
    <row r="45" spans="1:18" x14ac:dyDescent="0.25">
      <c r="A45" t="s">
        <v>2289</v>
      </c>
      <c r="B45" t="s">
        <v>1616</v>
      </c>
      <c r="C45" s="32" t="s">
        <v>607</v>
      </c>
      <c r="D45" t="s">
        <v>1617</v>
      </c>
      <c r="E45" s="54">
        <v>2000</v>
      </c>
      <c r="F45" s="54">
        <v>8156.69</v>
      </c>
      <c r="G45" s="54">
        <v>-3156.69</v>
      </c>
      <c r="H45" s="54">
        <v>0</v>
      </c>
      <c r="I45" t="s">
        <v>2877</v>
      </c>
      <c r="J45" s="31">
        <v>7101.64</v>
      </c>
      <c r="K45" s="36" t="s">
        <v>5841</v>
      </c>
      <c r="L45" t="s">
        <v>2502</v>
      </c>
      <c r="M45" t="s">
        <v>1618</v>
      </c>
      <c r="N45" t="s">
        <v>1619</v>
      </c>
      <c r="O45" t="s">
        <v>67</v>
      </c>
      <c r="Q45" s="23">
        <v>46222.958520405089</v>
      </c>
      <c r="R45" s="32">
        <f>IF(OR(tbl_de_massas[[#This Row],[dia_vencimento]]="", tbl_de_massas[[#This Row],[dia_vencimento]]="--"), "", WORKDAY(tbl_de_massas[[#This Row],[dia_vencimento]], 5))</f>
        <v>20</v>
      </c>
    </row>
    <row r="46" spans="1:18" x14ac:dyDescent="0.25">
      <c r="A46" t="s">
        <v>2290</v>
      </c>
      <c r="B46" t="s">
        <v>1725</v>
      </c>
      <c r="C46" s="32" t="s">
        <v>607</v>
      </c>
      <c r="D46" t="s">
        <v>1726</v>
      </c>
      <c r="E46" s="54">
        <v>17000</v>
      </c>
      <c r="F46" s="54">
        <v>2543.06</v>
      </c>
      <c r="G46" s="54">
        <v>2456.94</v>
      </c>
      <c r="H46" s="54">
        <v>0</v>
      </c>
      <c r="I46" t="s">
        <v>2876</v>
      </c>
      <c r="J46" s="31">
        <v>1488.01</v>
      </c>
      <c r="K46" s="36" t="s">
        <v>1306</v>
      </c>
      <c r="L46" t="s">
        <v>2504</v>
      </c>
      <c r="M46" t="s">
        <v>1727</v>
      </c>
      <c r="N46" t="s">
        <v>1728</v>
      </c>
      <c r="O46" t="s">
        <v>67</v>
      </c>
      <c r="Q46" s="23">
        <v>46222.961903750002</v>
      </c>
      <c r="R46" s="32">
        <f>IF(OR(tbl_de_massas[[#This Row],[dia_vencimento]]="", tbl_de_massas[[#This Row],[dia_vencimento]]="--"), "", WORKDAY(tbl_de_massas[[#This Row],[dia_vencimento]], 5))</f>
        <v>20</v>
      </c>
    </row>
    <row r="47" spans="1:18" x14ac:dyDescent="0.25">
      <c r="A47" t="s">
        <v>2291</v>
      </c>
      <c r="B47" t="s">
        <v>1927</v>
      </c>
      <c r="C47" s="32" t="s">
        <v>607</v>
      </c>
      <c r="D47" t="s">
        <v>1928</v>
      </c>
      <c r="E47" s="54">
        <v>2000</v>
      </c>
      <c r="F47" s="54">
        <v>7727.33</v>
      </c>
      <c r="G47" s="54">
        <v>-2727.33</v>
      </c>
      <c r="H47" s="54">
        <v>0</v>
      </c>
      <c r="I47" t="s">
        <v>2877</v>
      </c>
      <c r="J47" s="31">
        <v>6672.28</v>
      </c>
      <c r="K47" s="36" t="s">
        <v>5841</v>
      </c>
      <c r="L47" t="s">
        <v>2502</v>
      </c>
      <c r="M47" t="s">
        <v>1929</v>
      </c>
      <c r="N47" t="s">
        <v>1930</v>
      </c>
      <c r="O47" t="s">
        <v>67</v>
      </c>
      <c r="Q47" s="23">
        <v>46223.032012002317</v>
      </c>
      <c r="R47" s="32">
        <f>IF(OR(tbl_de_massas[[#This Row],[dia_vencimento]]="", tbl_de_massas[[#This Row],[dia_vencimento]]="--"), "", WORKDAY(tbl_de_massas[[#This Row],[dia_vencimento]], 5))</f>
        <v>20</v>
      </c>
    </row>
    <row r="48" spans="1:18" x14ac:dyDescent="0.25">
      <c r="A48" t="s">
        <v>2292</v>
      </c>
      <c r="B48" t="s">
        <v>1373</v>
      </c>
      <c r="C48" s="32" t="s">
        <v>607</v>
      </c>
      <c r="D48" t="s">
        <v>1374</v>
      </c>
      <c r="E48" s="54">
        <v>16538.400000000001</v>
      </c>
      <c r="F48" s="54">
        <v>0</v>
      </c>
      <c r="G48" s="54">
        <v>5000</v>
      </c>
      <c r="H48" s="54">
        <v>0</v>
      </c>
      <c r="I48" t="s">
        <v>2877</v>
      </c>
      <c r="J48" s="31">
        <v>2212.7399999999998</v>
      </c>
      <c r="K48" s="36" t="s">
        <v>1306</v>
      </c>
      <c r="L48" t="s">
        <v>2504</v>
      </c>
      <c r="M48" t="s">
        <v>1375</v>
      </c>
      <c r="N48" t="s">
        <v>1376</v>
      </c>
      <c r="O48" t="s">
        <v>67</v>
      </c>
      <c r="Q48" s="23">
        <v>46223.032287488422</v>
      </c>
      <c r="R48" s="32">
        <f>IF(OR(tbl_de_massas[[#This Row],[dia_vencimento]]="", tbl_de_massas[[#This Row],[dia_vencimento]]="--"), "", WORKDAY(tbl_de_massas[[#This Row],[dia_vencimento]], 5))</f>
        <v>20</v>
      </c>
    </row>
    <row r="49" spans="1:18" x14ac:dyDescent="0.25">
      <c r="A49" t="s">
        <v>2293</v>
      </c>
      <c r="B49" t="s">
        <v>1555</v>
      </c>
      <c r="C49" s="32" t="s">
        <v>607</v>
      </c>
      <c r="D49" t="s">
        <v>2511</v>
      </c>
      <c r="E49" s="54">
        <v>12029.37</v>
      </c>
      <c r="F49" s="54">
        <v>2757.76</v>
      </c>
      <c r="G49" s="54">
        <v>2242.2399999999998</v>
      </c>
      <c r="H49" s="54">
        <v>0</v>
      </c>
      <c r="I49" t="s">
        <v>2876</v>
      </c>
      <c r="J49" s="31">
        <v>1702.71</v>
      </c>
      <c r="K49" s="36" t="s">
        <v>1306</v>
      </c>
      <c r="L49" t="s">
        <v>2504</v>
      </c>
      <c r="M49" t="s">
        <v>1556</v>
      </c>
      <c r="N49" t="s">
        <v>1557</v>
      </c>
      <c r="O49" t="s">
        <v>67</v>
      </c>
      <c r="Q49" s="23">
        <v>46223.07806832176</v>
      </c>
      <c r="R49" s="32">
        <f>IF(OR(tbl_de_massas[[#This Row],[dia_vencimento]]="", tbl_de_massas[[#This Row],[dia_vencimento]]="--"), "", WORKDAY(tbl_de_massas[[#This Row],[dia_vencimento]], 5))</f>
        <v>20</v>
      </c>
    </row>
    <row r="50" spans="1:18" x14ac:dyDescent="0.25">
      <c r="A50" t="s">
        <v>2294</v>
      </c>
      <c r="B50" t="s">
        <v>1659</v>
      </c>
      <c r="C50" s="32" t="s">
        <v>607</v>
      </c>
      <c r="D50" t="s">
        <v>1660</v>
      </c>
      <c r="E50" s="54">
        <v>2000</v>
      </c>
      <c r="F50" s="54">
        <v>1189.27</v>
      </c>
      <c r="G50" s="54">
        <v>3810.73</v>
      </c>
      <c r="H50" s="54">
        <v>0</v>
      </c>
      <c r="I50" t="s">
        <v>2876</v>
      </c>
      <c r="J50" s="31">
        <v>134.22</v>
      </c>
      <c r="K50" s="36" t="s">
        <v>1306</v>
      </c>
      <c r="L50" t="s">
        <v>2504</v>
      </c>
      <c r="M50" t="s">
        <v>1661</v>
      </c>
      <c r="N50" t="s">
        <v>1662</v>
      </c>
      <c r="O50" t="s">
        <v>67</v>
      </c>
      <c r="Q50" s="23">
        <v>46223.078328460651</v>
      </c>
      <c r="R50" s="32">
        <f>IF(OR(tbl_de_massas[[#This Row],[dia_vencimento]]="", tbl_de_massas[[#This Row],[dia_vencimento]]="--"), "", WORKDAY(tbl_de_massas[[#This Row],[dia_vencimento]], 5))</f>
        <v>20</v>
      </c>
    </row>
    <row r="51" spans="1:18" x14ac:dyDescent="0.25">
      <c r="A51" t="s">
        <v>2295</v>
      </c>
      <c r="B51" t="s">
        <v>1983</v>
      </c>
      <c r="C51" s="32" t="s">
        <v>607</v>
      </c>
      <c r="D51" t="s">
        <v>1984</v>
      </c>
      <c r="E51" s="54">
        <v>2000</v>
      </c>
      <c r="F51" s="54">
        <v>8000.99</v>
      </c>
      <c r="G51" s="54">
        <v>-3000.99</v>
      </c>
      <c r="H51" s="54">
        <v>0</v>
      </c>
      <c r="I51" t="s">
        <v>2877</v>
      </c>
      <c r="J51" s="31">
        <v>6945.94</v>
      </c>
      <c r="K51" s="36" t="s">
        <v>5841</v>
      </c>
      <c r="L51" t="s">
        <v>2502</v>
      </c>
      <c r="M51" t="s">
        <v>1985</v>
      </c>
      <c r="N51" t="s">
        <v>1986</v>
      </c>
      <c r="O51" t="s">
        <v>67</v>
      </c>
      <c r="Q51" s="23">
        <v>46223.078510624997</v>
      </c>
      <c r="R51" s="32">
        <f>IF(OR(tbl_de_massas[[#This Row],[dia_vencimento]]="", tbl_de_massas[[#This Row],[dia_vencimento]]="--"), "", WORKDAY(tbl_de_massas[[#This Row],[dia_vencimento]], 5))</f>
        <v>20</v>
      </c>
    </row>
    <row r="52" spans="1:18" x14ac:dyDescent="0.25">
      <c r="A52" t="s">
        <v>2296</v>
      </c>
      <c r="B52" t="s">
        <v>1915</v>
      </c>
      <c r="C52" s="32" t="s">
        <v>607</v>
      </c>
      <c r="D52" t="s">
        <v>2512</v>
      </c>
      <c r="E52" s="54">
        <v>2000</v>
      </c>
      <c r="F52" s="54">
        <v>2642.12</v>
      </c>
      <c r="G52" s="54">
        <v>2357.88</v>
      </c>
      <c r="H52" s="54">
        <v>0</v>
      </c>
      <c r="I52" t="s">
        <v>2877</v>
      </c>
      <c r="J52" s="31">
        <v>1587.07</v>
      </c>
      <c r="K52" s="36" t="s">
        <v>5840</v>
      </c>
      <c r="L52" t="s">
        <v>2502</v>
      </c>
      <c r="M52" t="s">
        <v>1916</v>
      </c>
      <c r="N52" t="s">
        <v>1917</v>
      </c>
      <c r="O52" t="s">
        <v>67</v>
      </c>
      <c r="Q52" s="23">
        <v>46223.092020543983</v>
      </c>
      <c r="R52" s="32">
        <f>IF(OR(tbl_de_massas[[#This Row],[dia_vencimento]]="", tbl_de_massas[[#This Row],[dia_vencimento]]="--"), "", WORKDAY(tbl_de_massas[[#This Row],[dia_vencimento]], 5))</f>
        <v>20</v>
      </c>
    </row>
    <row r="53" spans="1:18" x14ac:dyDescent="0.25">
      <c r="A53" t="s">
        <v>2297</v>
      </c>
      <c r="B53" t="s">
        <v>1708</v>
      </c>
      <c r="C53" s="32" t="s">
        <v>607</v>
      </c>
      <c r="D53" t="s">
        <v>1709</v>
      </c>
      <c r="E53" s="54">
        <v>2000</v>
      </c>
      <c r="F53" s="54">
        <v>7764.34</v>
      </c>
      <c r="G53" s="54">
        <v>-2764.34</v>
      </c>
      <c r="H53" s="54">
        <v>0</v>
      </c>
      <c r="I53" t="s">
        <v>2877</v>
      </c>
      <c r="J53" s="31">
        <v>6709.29</v>
      </c>
      <c r="K53" s="36" t="s">
        <v>5841</v>
      </c>
      <c r="L53" t="s">
        <v>2502</v>
      </c>
      <c r="M53" t="s">
        <v>1710</v>
      </c>
      <c r="N53" t="s">
        <v>1711</v>
      </c>
      <c r="O53" t="s">
        <v>67</v>
      </c>
      <c r="Q53" s="23">
        <v>46223.603055925923</v>
      </c>
      <c r="R53" s="32">
        <f>IF(OR(tbl_de_massas[[#This Row],[dia_vencimento]]="", tbl_de_massas[[#This Row],[dia_vencimento]]="--"), "", WORKDAY(tbl_de_massas[[#This Row],[dia_vencimento]], 5))</f>
        <v>20</v>
      </c>
    </row>
    <row r="54" spans="1:18" x14ac:dyDescent="0.25">
      <c r="A54" t="s">
        <v>2298</v>
      </c>
      <c r="B54" t="s">
        <v>1308</v>
      </c>
      <c r="C54" s="32" t="s">
        <v>607</v>
      </c>
      <c r="D54" t="s">
        <v>1309</v>
      </c>
      <c r="E54" s="54">
        <v>2000</v>
      </c>
      <c r="F54" s="54">
        <v>2821.27</v>
      </c>
      <c r="G54" s="54">
        <v>2178.73</v>
      </c>
      <c r="H54" s="54">
        <v>0</v>
      </c>
      <c r="I54" t="s">
        <v>2877</v>
      </c>
      <c r="J54" s="31">
        <v>1766.22</v>
      </c>
      <c r="K54" s="36" t="s">
        <v>5840</v>
      </c>
      <c r="L54" t="s">
        <v>2502</v>
      </c>
      <c r="M54" t="s">
        <v>1310</v>
      </c>
      <c r="N54" t="s">
        <v>1311</v>
      </c>
      <c r="O54" t="s">
        <v>67</v>
      </c>
      <c r="Q54" s="23">
        <v>46223.604026319445</v>
      </c>
      <c r="R54" s="32">
        <f>IF(OR(tbl_de_massas[[#This Row],[dia_vencimento]]="", tbl_de_massas[[#This Row],[dia_vencimento]]="--"), "", WORKDAY(tbl_de_massas[[#This Row],[dia_vencimento]], 5))</f>
        <v>20</v>
      </c>
    </row>
    <row r="55" spans="1:18" x14ac:dyDescent="0.25">
      <c r="A55" t="s">
        <v>2299</v>
      </c>
      <c r="B55" t="s">
        <v>1396</v>
      </c>
      <c r="C55" s="32" t="s">
        <v>607</v>
      </c>
      <c r="D55" t="s">
        <v>1397</v>
      </c>
      <c r="E55" s="54">
        <v>2000</v>
      </c>
      <c r="F55" s="54">
        <v>2686.37</v>
      </c>
      <c r="G55" s="54">
        <v>2313.63</v>
      </c>
      <c r="H55" s="54">
        <v>0</v>
      </c>
      <c r="I55" t="s">
        <v>2877</v>
      </c>
      <c r="J55" s="31">
        <v>1631.32</v>
      </c>
      <c r="K55" s="36" t="s">
        <v>5840</v>
      </c>
      <c r="L55" t="s">
        <v>2502</v>
      </c>
      <c r="M55" t="s">
        <v>1398</v>
      </c>
      <c r="N55" t="s">
        <v>1399</v>
      </c>
      <c r="O55" t="s">
        <v>67</v>
      </c>
      <c r="Q55" s="23">
        <v>46223.646840092595</v>
      </c>
      <c r="R55" s="32">
        <f>IF(OR(tbl_de_massas[[#This Row],[dia_vencimento]]="", tbl_de_massas[[#This Row],[dia_vencimento]]="--"), "", WORKDAY(tbl_de_massas[[#This Row],[dia_vencimento]], 5))</f>
        <v>20</v>
      </c>
    </row>
    <row r="56" spans="1:18" x14ac:dyDescent="0.25">
      <c r="A56" t="s">
        <v>2300</v>
      </c>
      <c r="B56" t="s">
        <v>2088</v>
      </c>
      <c r="C56" s="32" t="s">
        <v>607</v>
      </c>
      <c r="D56" t="s">
        <v>2083</v>
      </c>
      <c r="E56" s="54">
        <v>2000</v>
      </c>
      <c r="F56" s="54">
        <v>2019.48</v>
      </c>
      <c r="G56" s="54">
        <v>2980.52</v>
      </c>
      <c r="H56" s="54">
        <v>0</v>
      </c>
      <c r="I56" t="s">
        <v>2877</v>
      </c>
      <c r="J56" s="31">
        <v>964.43</v>
      </c>
      <c r="K56" s="36" t="s">
        <v>5840</v>
      </c>
      <c r="L56" t="s">
        <v>2502</v>
      </c>
      <c r="M56" t="s">
        <v>2089</v>
      </c>
      <c r="N56" t="s">
        <v>2090</v>
      </c>
      <c r="O56" t="s">
        <v>67</v>
      </c>
      <c r="Q56" s="23">
        <v>46223.674182013892</v>
      </c>
      <c r="R56" s="32">
        <f>IF(OR(tbl_de_massas[[#This Row],[dia_vencimento]]="", tbl_de_massas[[#This Row],[dia_vencimento]]="--"), "", WORKDAY(tbl_de_massas[[#This Row],[dia_vencimento]], 5))</f>
        <v>20</v>
      </c>
    </row>
    <row r="57" spans="1:18" x14ac:dyDescent="0.25">
      <c r="A57" t="s">
        <v>2301</v>
      </c>
      <c r="B57" t="s">
        <v>1392</v>
      </c>
      <c r="C57" s="32" t="s">
        <v>607</v>
      </c>
      <c r="D57" t="s">
        <v>1393</v>
      </c>
      <c r="E57" s="54">
        <v>2000</v>
      </c>
      <c r="F57" s="54">
        <v>7959.43</v>
      </c>
      <c r="G57" s="54">
        <v>-2959.43</v>
      </c>
      <c r="H57" s="54">
        <v>0</v>
      </c>
      <c r="I57" t="s">
        <v>2877</v>
      </c>
      <c r="J57" s="31">
        <v>6904.38</v>
      </c>
      <c r="K57" s="36" t="s">
        <v>5841</v>
      </c>
      <c r="L57" t="s">
        <v>2502</v>
      </c>
      <c r="M57" t="s">
        <v>1394</v>
      </c>
      <c r="N57" t="s">
        <v>1395</v>
      </c>
      <c r="O57" t="s">
        <v>67</v>
      </c>
      <c r="Q57" s="23">
        <v>46223.893028692131</v>
      </c>
      <c r="R57" s="32">
        <f>IF(OR(tbl_de_massas[[#This Row],[dia_vencimento]]="", tbl_de_massas[[#This Row],[dia_vencimento]]="--"), "", WORKDAY(tbl_de_massas[[#This Row],[dia_vencimento]], 5))</f>
        <v>20</v>
      </c>
    </row>
    <row r="58" spans="1:18" x14ac:dyDescent="0.25">
      <c r="A58" t="s">
        <v>2302</v>
      </c>
      <c r="B58" t="s">
        <v>1973</v>
      </c>
      <c r="C58" s="32" t="s">
        <v>607</v>
      </c>
      <c r="D58" t="s">
        <v>2513</v>
      </c>
      <c r="E58" s="54">
        <v>2000</v>
      </c>
      <c r="F58" s="54">
        <v>2628.56</v>
      </c>
      <c r="G58" s="54">
        <v>2371.44</v>
      </c>
      <c r="H58" s="54">
        <v>0</v>
      </c>
      <c r="I58" t="s">
        <v>2877</v>
      </c>
      <c r="J58" s="31">
        <v>1573.51</v>
      </c>
      <c r="K58" s="36" t="s">
        <v>5840</v>
      </c>
      <c r="L58" t="s">
        <v>2502</v>
      </c>
      <c r="M58" t="s">
        <v>1974</v>
      </c>
      <c r="N58" t="s">
        <v>1975</v>
      </c>
      <c r="O58" t="s">
        <v>67</v>
      </c>
      <c r="Q58" s="23">
        <v>46223.893318877315</v>
      </c>
      <c r="R58" s="32">
        <f>IF(OR(tbl_de_massas[[#This Row],[dia_vencimento]]="", tbl_de_massas[[#This Row],[dia_vencimento]]="--"), "", WORKDAY(tbl_de_massas[[#This Row],[dia_vencimento]], 5))</f>
        <v>20</v>
      </c>
    </row>
    <row r="59" spans="1:18" x14ac:dyDescent="0.25">
      <c r="A59" t="s">
        <v>2303</v>
      </c>
      <c r="B59" t="s">
        <v>1620</v>
      </c>
      <c r="C59" s="32" t="s">
        <v>607</v>
      </c>
      <c r="D59" t="s">
        <v>1621</v>
      </c>
      <c r="E59" s="54">
        <v>1786.35</v>
      </c>
      <c r="F59" s="54">
        <v>18.239999999999998</v>
      </c>
      <c r="G59" s="54">
        <v>4981.76</v>
      </c>
      <c r="H59" s="54">
        <v>0</v>
      </c>
      <c r="I59" t="s">
        <v>2876</v>
      </c>
      <c r="J59" s="31">
        <v>0</v>
      </c>
      <c r="K59" s="36" t="s">
        <v>1306</v>
      </c>
      <c r="L59" t="s">
        <v>2504</v>
      </c>
      <c r="M59" t="s">
        <v>1622</v>
      </c>
      <c r="N59" t="s">
        <v>1623</v>
      </c>
      <c r="O59" t="s">
        <v>67</v>
      </c>
      <c r="Q59" s="23">
        <v>46224.075377824076</v>
      </c>
      <c r="R59" s="32">
        <f>IF(OR(tbl_de_massas[[#This Row],[dia_vencimento]]="", tbl_de_massas[[#This Row],[dia_vencimento]]="--"), "", WORKDAY(tbl_de_massas[[#This Row],[dia_vencimento]], 5))</f>
        <v>20</v>
      </c>
    </row>
    <row r="60" spans="1:18" x14ac:dyDescent="0.25">
      <c r="A60" t="s">
        <v>2304</v>
      </c>
      <c r="B60" t="s">
        <v>1592</v>
      </c>
      <c r="C60" s="32" t="s">
        <v>607</v>
      </c>
      <c r="D60" t="s">
        <v>1593</v>
      </c>
      <c r="E60" s="54">
        <v>22000</v>
      </c>
      <c r="F60" s="54">
        <v>5041.59</v>
      </c>
      <c r="G60" s="54">
        <v>16958.41</v>
      </c>
      <c r="H60" s="54">
        <v>0</v>
      </c>
      <c r="I60" t="s">
        <v>2876</v>
      </c>
      <c r="J60" s="31">
        <v>1466.54</v>
      </c>
      <c r="K60" s="36" t="s">
        <v>1306</v>
      </c>
      <c r="L60" t="s">
        <v>2504</v>
      </c>
      <c r="M60" t="s">
        <v>1594</v>
      </c>
      <c r="N60" t="s">
        <v>1595</v>
      </c>
      <c r="O60" t="s">
        <v>67</v>
      </c>
      <c r="Q60" s="23">
        <v>46224.500176354166</v>
      </c>
      <c r="R60" s="32">
        <f>IF(OR(tbl_de_massas[[#This Row],[dia_vencimento]]="", tbl_de_massas[[#This Row],[dia_vencimento]]="--"), "", WORKDAY(tbl_de_massas[[#This Row],[dia_vencimento]], 5))</f>
        <v>20</v>
      </c>
    </row>
    <row r="61" spans="1:18" x14ac:dyDescent="0.25">
      <c r="A61" t="s">
        <v>2305</v>
      </c>
      <c r="B61" t="s">
        <v>2112</v>
      </c>
      <c r="C61" s="32" t="s">
        <v>607</v>
      </c>
      <c r="D61" t="s">
        <v>2113</v>
      </c>
      <c r="E61" s="54">
        <v>2000</v>
      </c>
      <c r="F61" s="54">
        <v>3141.76</v>
      </c>
      <c r="G61" s="54">
        <v>1858.24</v>
      </c>
      <c r="H61" s="54">
        <v>0</v>
      </c>
      <c r="I61" t="s">
        <v>2877</v>
      </c>
      <c r="J61" s="31">
        <v>2086.71</v>
      </c>
      <c r="K61" s="36" t="s">
        <v>5840</v>
      </c>
      <c r="L61" t="s">
        <v>2502</v>
      </c>
      <c r="M61" t="s">
        <v>2114</v>
      </c>
      <c r="N61" t="s">
        <v>385</v>
      </c>
      <c r="O61" t="s">
        <v>67</v>
      </c>
      <c r="Q61" s="23">
        <v>46224.500339988423</v>
      </c>
      <c r="R61" s="32">
        <f>IF(OR(tbl_de_massas[[#This Row],[dia_vencimento]]="", tbl_de_massas[[#This Row],[dia_vencimento]]="--"), "", WORKDAY(tbl_de_massas[[#This Row],[dia_vencimento]], 5))</f>
        <v>20</v>
      </c>
    </row>
    <row r="62" spans="1:18" x14ac:dyDescent="0.25">
      <c r="A62" t="s">
        <v>2306</v>
      </c>
      <c r="B62" t="s">
        <v>1573</v>
      </c>
      <c r="C62" s="32" t="s">
        <v>607</v>
      </c>
      <c r="D62" t="s">
        <v>1574</v>
      </c>
      <c r="E62" s="54">
        <v>2000</v>
      </c>
      <c r="F62" s="54">
        <v>3162.65</v>
      </c>
      <c r="G62" s="54">
        <v>1837.35</v>
      </c>
      <c r="H62" s="54">
        <v>0</v>
      </c>
      <c r="I62" t="s">
        <v>2877</v>
      </c>
      <c r="J62" s="31">
        <v>2107.6</v>
      </c>
      <c r="K62" s="36" t="s">
        <v>5840</v>
      </c>
      <c r="L62" t="s">
        <v>2502</v>
      </c>
      <c r="M62" t="s">
        <v>1575</v>
      </c>
      <c r="N62" t="s">
        <v>1576</v>
      </c>
      <c r="O62" t="s">
        <v>67</v>
      </c>
      <c r="Q62" s="23">
        <v>46224.50061751157</v>
      </c>
      <c r="R62" s="32">
        <f>IF(OR(tbl_de_massas[[#This Row],[dia_vencimento]]="", tbl_de_massas[[#This Row],[dia_vencimento]]="--"), "", WORKDAY(tbl_de_massas[[#This Row],[dia_vencimento]], 5))</f>
        <v>20</v>
      </c>
    </row>
    <row r="63" spans="1:18" x14ac:dyDescent="0.25">
      <c r="A63" t="s">
        <v>2307</v>
      </c>
      <c r="B63" t="s">
        <v>1441</v>
      </c>
      <c r="C63" s="32" t="s">
        <v>607</v>
      </c>
      <c r="D63" t="s">
        <v>1442</v>
      </c>
      <c r="E63" s="54">
        <v>2000</v>
      </c>
      <c r="F63" s="54">
        <v>8005.46</v>
      </c>
      <c r="G63" s="54">
        <v>-3005.46</v>
      </c>
      <c r="H63" s="54">
        <v>0</v>
      </c>
      <c r="I63" t="s">
        <v>2877</v>
      </c>
      <c r="J63" s="31">
        <v>6950.41</v>
      </c>
      <c r="K63" s="36" t="s">
        <v>5841</v>
      </c>
      <c r="L63" t="s">
        <v>2502</v>
      </c>
      <c r="M63" t="s">
        <v>1443</v>
      </c>
      <c r="N63" t="s">
        <v>1444</v>
      </c>
      <c r="O63" t="s">
        <v>67</v>
      </c>
      <c r="Q63" s="23">
        <v>46225.041546111112</v>
      </c>
      <c r="R63" s="32">
        <f>IF(OR(tbl_de_massas[[#This Row],[dia_vencimento]]="", tbl_de_massas[[#This Row],[dia_vencimento]]="--"), "", WORKDAY(tbl_de_massas[[#This Row],[dia_vencimento]], 5))</f>
        <v>20</v>
      </c>
    </row>
    <row r="64" spans="1:18" x14ac:dyDescent="0.25">
      <c r="A64" t="s">
        <v>2308</v>
      </c>
      <c r="B64" t="s">
        <v>2003</v>
      </c>
      <c r="C64" s="32" t="s">
        <v>607</v>
      </c>
      <c r="D64" t="s">
        <v>2004</v>
      </c>
      <c r="E64" s="54">
        <v>22200.06</v>
      </c>
      <c r="F64" s="54">
        <v>2779.23</v>
      </c>
      <c r="G64" s="54">
        <v>2220.77</v>
      </c>
      <c r="H64" s="54">
        <v>0</v>
      </c>
      <c r="I64" t="s">
        <v>2876</v>
      </c>
      <c r="J64" s="31">
        <v>1724.18</v>
      </c>
      <c r="K64" s="36" t="s">
        <v>1306</v>
      </c>
      <c r="L64" t="s">
        <v>2504</v>
      </c>
      <c r="M64" t="s">
        <v>2005</v>
      </c>
      <c r="N64" t="s">
        <v>2006</v>
      </c>
      <c r="O64" t="s">
        <v>67</v>
      </c>
      <c r="Q64" s="23">
        <v>46225.044103229164</v>
      </c>
      <c r="R64" s="32">
        <f>IF(OR(tbl_de_massas[[#This Row],[dia_vencimento]]="", tbl_de_massas[[#This Row],[dia_vencimento]]="--"), "", WORKDAY(tbl_de_massas[[#This Row],[dia_vencimento]], 5))</f>
        <v>20</v>
      </c>
    </row>
    <row r="65" spans="1:18" x14ac:dyDescent="0.25">
      <c r="A65" t="s">
        <v>2309</v>
      </c>
      <c r="B65" t="s">
        <v>1840</v>
      </c>
      <c r="C65" s="32" t="s">
        <v>607</v>
      </c>
      <c r="D65" t="s">
        <v>1841</v>
      </c>
      <c r="E65" s="54">
        <v>2000</v>
      </c>
      <c r="F65" s="54">
        <v>2785.17</v>
      </c>
      <c r="G65" s="54">
        <v>2214.83</v>
      </c>
      <c r="H65" s="54">
        <v>0</v>
      </c>
      <c r="I65" t="s">
        <v>2877</v>
      </c>
      <c r="J65" s="31">
        <v>1730.12</v>
      </c>
      <c r="K65" s="36" t="s">
        <v>5840</v>
      </c>
      <c r="L65" t="s">
        <v>2502</v>
      </c>
      <c r="M65" t="s">
        <v>1842</v>
      </c>
      <c r="N65" t="s">
        <v>1843</v>
      </c>
      <c r="O65" t="s">
        <v>67</v>
      </c>
      <c r="Q65" s="23">
        <v>46225.061685567132</v>
      </c>
      <c r="R65" s="32">
        <f>IF(OR(tbl_de_massas[[#This Row],[dia_vencimento]]="", tbl_de_massas[[#This Row],[dia_vencimento]]="--"), "", WORKDAY(tbl_de_massas[[#This Row],[dia_vencimento]], 5))</f>
        <v>20</v>
      </c>
    </row>
    <row r="66" spans="1:18" x14ac:dyDescent="0.25">
      <c r="A66" t="s">
        <v>2310</v>
      </c>
      <c r="B66" t="s">
        <v>1716</v>
      </c>
      <c r="C66" s="32" t="s">
        <v>607</v>
      </c>
      <c r="D66" t="s">
        <v>1717</v>
      </c>
      <c r="E66" s="54">
        <v>2000</v>
      </c>
      <c r="F66" s="54">
        <v>7732.61</v>
      </c>
      <c r="G66" s="54">
        <v>-2732.61</v>
      </c>
      <c r="H66" s="54">
        <v>0</v>
      </c>
      <c r="I66" t="s">
        <v>2877</v>
      </c>
      <c r="J66" s="31">
        <v>6677.56</v>
      </c>
      <c r="K66" s="36" t="s">
        <v>5841</v>
      </c>
      <c r="L66" t="s">
        <v>2502</v>
      </c>
      <c r="M66" t="s">
        <v>1718</v>
      </c>
      <c r="N66" t="s">
        <v>1719</v>
      </c>
      <c r="O66" t="s">
        <v>67</v>
      </c>
      <c r="Q66" s="23">
        <v>46225.582451550923</v>
      </c>
      <c r="R66" s="32">
        <f>IF(OR(tbl_de_massas[[#This Row],[dia_vencimento]]="", tbl_de_massas[[#This Row],[dia_vencimento]]="--"), "", WORKDAY(tbl_de_massas[[#This Row],[dia_vencimento]], 5))</f>
        <v>20</v>
      </c>
    </row>
    <row r="67" spans="1:18" x14ac:dyDescent="0.25">
      <c r="A67" t="s">
        <v>2311</v>
      </c>
      <c r="B67" t="s">
        <v>1490</v>
      </c>
      <c r="C67" s="32" t="s">
        <v>607</v>
      </c>
      <c r="D67" t="s">
        <v>1491</v>
      </c>
      <c r="E67" s="54">
        <v>17500</v>
      </c>
      <c r="F67" s="54">
        <v>0</v>
      </c>
      <c r="G67" s="54">
        <v>5000</v>
      </c>
      <c r="H67" s="54">
        <v>0</v>
      </c>
      <c r="I67" t="s">
        <v>2877</v>
      </c>
      <c r="J67" s="31">
        <v>1293.1500000000001</v>
      </c>
      <c r="K67" s="36" t="s">
        <v>1306</v>
      </c>
      <c r="L67" t="s">
        <v>2504</v>
      </c>
      <c r="M67" t="s">
        <v>1492</v>
      </c>
      <c r="N67" t="s">
        <v>1493</v>
      </c>
      <c r="O67" t="s">
        <v>67</v>
      </c>
      <c r="Q67" s="23">
        <v>46225.65426520833</v>
      </c>
      <c r="R67" s="32">
        <f>IF(OR(tbl_de_massas[[#This Row],[dia_vencimento]]="", tbl_de_massas[[#This Row],[dia_vencimento]]="--"), "", WORKDAY(tbl_de_massas[[#This Row],[dia_vencimento]], 5))</f>
        <v>20</v>
      </c>
    </row>
    <row r="68" spans="1:18" x14ac:dyDescent="0.25">
      <c r="A68" t="s">
        <v>2312</v>
      </c>
      <c r="B68" t="s">
        <v>1624</v>
      </c>
      <c r="C68" s="32" t="s">
        <v>607</v>
      </c>
      <c r="D68" t="s">
        <v>1625</v>
      </c>
      <c r="E68" s="54">
        <v>22227.39</v>
      </c>
      <c r="F68" s="54">
        <v>4663.95</v>
      </c>
      <c r="G68" s="54">
        <v>15336.05</v>
      </c>
      <c r="H68" s="54">
        <v>0</v>
      </c>
      <c r="I68" t="s">
        <v>2876</v>
      </c>
      <c r="J68" s="31">
        <v>1208.9000000000001</v>
      </c>
      <c r="K68" s="36" t="s">
        <v>1306</v>
      </c>
      <c r="L68" t="s">
        <v>2504</v>
      </c>
      <c r="M68" t="s">
        <v>1626</v>
      </c>
      <c r="N68" t="s">
        <v>1627</v>
      </c>
      <c r="O68" t="s">
        <v>67</v>
      </c>
      <c r="Q68" s="23">
        <v>46225.682121967591</v>
      </c>
      <c r="R68" s="32">
        <f>IF(OR(tbl_de_massas[[#This Row],[dia_vencimento]]="", tbl_de_massas[[#This Row],[dia_vencimento]]="--"), "", WORKDAY(tbl_de_massas[[#This Row],[dia_vencimento]], 5))</f>
        <v>20</v>
      </c>
    </row>
    <row r="69" spans="1:18" x14ac:dyDescent="0.25">
      <c r="A69" t="s">
        <v>2313</v>
      </c>
      <c r="B69" t="s">
        <v>1482</v>
      </c>
      <c r="C69" s="32" t="s">
        <v>607</v>
      </c>
      <c r="D69" t="s">
        <v>1483</v>
      </c>
      <c r="E69" s="54">
        <v>2000</v>
      </c>
      <c r="F69" s="54">
        <v>2833.63</v>
      </c>
      <c r="G69" s="54">
        <v>2166.37</v>
      </c>
      <c r="H69" s="54">
        <v>0</v>
      </c>
      <c r="I69" t="s">
        <v>2877</v>
      </c>
      <c r="J69" s="31">
        <v>1778.58</v>
      </c>
      <c r="K69" s="36" t="s">
        <v>5840</v>
      </c>
      <c r="L69" t="s">
        <v>2502</v>
      </c>
      <c r="M69" t="s">
        <v>1484</v>
      </c>
      <c r="N69" t="s">
        <v>1485</v>
      </c>
      <c r="O69" t="s">
        <v>67</v>
      </c>
      <c r="Q69" s="23">
        <v>46225.683542326391</v>
      </c>
      <c r="R69" s="32">
        <f>IF(OR(tbl_de_massas[[#This Row],[dia_vencimento]]="", tbl_de_massas[[#This Row],[dia_vencimento]]="--"), "", WORKDAY(tbl_de_massas[[#This Row],[dia_vencimento]], 5))</f>
        <v>20</v>
      </c>
    </row>
    <row r="70" spans="1:18" x14ac:dyDescent="0.25">
      <c r="A70" t="s">
        <v>2314</v>
      </c>
      <c r="B70" t="s">
        <v>1478</v>
      </c>
      <c r="C70" s="32" t="s">
        <v>607</v>
      </c>
      <c r="D70" t="s">
        <v>1479</v>
      </c>
      <c r="E70" s="54">
        <v>2000</v>
      </c>
      <c r="F70" s="54">
        <v>1188.58</v>
      </c>
      <c r="G70" s="54">
        <v>3811.42</v>
      </c>
      <c r="H70" s="54">
        <v>0</v>
      </c>
      <c r="I70" t="s">
        <v>2876</v>
      </c>
      <c r="J70" s="31">
        <v>133.53</v>
      </c>
      <c r="K70" s="36" t="s">
        <v>1306</v>
      </c>
      <c r="L70" t="s">
        <v>2504</v>
      </c>
      <c r="M70" t="s">
        <v>1480</v>
      </c>
      <c r="N70" t="s">
        <v>1481</v>
      </c>
      <c r="O70" t="s">
        <v>67</v>
      </c>
      <c r="Q70" s="23">
        <v>46225.968638969905</v>
      </c>
      <c r="R70" s="32">
        <f>IF(OR(tbl_de_massas[[#This Row],[dia_vencimento]]="", tbl_de_massas[[#This Row],[dia_vencimento]]="--"), "", WORKDAY(tbl_de_massas[[#This Row],[dia_vencimento]], 5))</f>
        <v>20</v>
      </c>
    </row>
    <row r="71" spans="1:18" x14ac:dyDescent="0.25">
      <c r="A71" t="s">
        <v>29</v>
      </c>
      <c r="B71" t="s">
        <v>1312</v>
      </c>
      <c r="C71" s="32" t="s">
        <v>607</v>
      </c>
      <c r="D71" t="s">
        <v>1313</v>
      </c>
      <c r="E71" s="54">
        <v>2000</v>
      </c>
      <c r="F71" s="54">
        <v>1179.9000000000001</v>
      </c>
      <c r="G71" s="54">
        <v>3820.1</v>
      </c>
      <c r="H71" s="54">
        <v>0</v>
      </c>
      <c r="I71" t="s">
        <v>2876</v>
      </c>
      <c r="J71" s="31">
        <v>124.85</v>
      </c>
      <c r="K71" s="36" t="s">
        <v>1306</v>
      </c>
      <c r="L71" t="s">
        <v>2504</v>
      </c>
      <c r="M71" t="s">
        <v>1314</v>
      </c>
      <c r="N71" t="s">
        <v>1315</v>
      </c>
      <c r="O71" t="s">
        <v>67</v>
      </c>
      <c r="Q71" s="23">
        <v>46225.96929335648</v>
      </c>
      <c r="R71" s="32">
        <f>IF(OR(tbl_de_massas[[#This Row],[dia_vencimento]]="", tbl_de_massas[[#This Row],[dia_vencimento]]="--"), "", WORKDAY(tbl_de_massas[[#This Row],[dia_vencimento]], 5))</f>
        <v>20</v>
      </c>
    </row>
    <row r="72" spans="1:18" x14ac:dyDescent="0.25">
      <c r="A72" t="s">
        <v>2315</v>
      </c>
      <c r="B72" t="s">
        <v>1964</v>
      </c>
      <c r="C72" s="32" t="s">
        <v>607</v>
      </c>
      <c r="D72" t="s">
        <v>1965</v>
      </c>
      <c r="E72" s="54">
        <v>2000</v>
      </c>
      <c r="F72" s="54">
        <v>3034.07</v>
      </c>
      <c r="G72" s="54">
        <v>1965.93</v>
      </c>
      <c r="H72" s="54">
        <v>0</v>
      </c>
      <c r="I72" t="s">
        <v>2877</v>
      </c>
      <c r="J72" s="31">
        <v>1979.02</v>
      </c>
      <c r="K72" s="36" t="s">
        <v>5840</v>
      </c>
      <c r="L72" t="s">
        <v>2502</v>
      </c>
      <c r="M72" t="s">
        <v>1966</v>
      </c>
      <c r="N72" t="s">
        <v>1967</v>
      </c>
      <c r="O72" t="s">
        <v>67</v>
      </c>
      <c r="Q72" s="23">
        <v>46225.969936516201</v>
      </c>
      <c r="R72" s="32">
        <f>IF(OR(tbl_de_massas[[#This Row],[dia_vencimento]]="", tbl_de_massas[[#This Row],[dia_vencimento]]="--"), "", WORKDAY(tbl_de_massas[[#This Row],[dia_vencimento]], 5))</f>
        <v>20</v>
      </c>
    </row>
    <row r="73" spans="1:18" x14ac:dyDescent="0.25">
      <c r="A73" t="s">
        <v>2316</v>
      </c>
      <c r="B73" t="s">
        <v>1970</v>
      </c>
      <c r="C73" s="32" t="s">
        <v>607</v>
      </c>
      <c r="D73" t="s">
        <v>2514</v>
      </c>
      <c r="E73" s="54">
        <v>52000</v>
      </c>
      <c r="F73" s="54">
        <v>2521.59</v>
      </c>
      <c r="G73" s="54">
        <v>2478.41</v>
      </c>
      <c r="H73" s="54">
        <v>0</v>
      </c>
      <c r="I73" t="s">
        <v>2876</v>
      </c>
      <c r="J73" s="31">
        <v>1466.54</v>
      </c>
      <c r="K73" s="36" t="s">
        <v>1306</v>
      </c>
      <c r="L73" t="s">
        <v>2504</v>
      </c>
      <c r="M73" t="s">
        <v>1971</v>
      </c>
      <c r="N73" t="s">
        <v>1972</v>
      </c>
      <c r="O73" t="s">
        <v>67</v>
      </c>
      <c r="Q73" s="23">
        <v>46225.999757199075</v>
      </c>
      <c r="R73" s="32">
        <f>IF(OR(tbl_de_massas[[#This Row],[dia_vencimento]]="", tbl_de_massas[[#This Row],[dia_vencimento]]="--"), "", WORKDAY(tbl_de_massas[[#This Row],[dia_vencimento]], 5))</f>
        <v>20</v>
      </c>
    </row>
    <row r="74" spans="1:18" x14ac:dyDescent="0.25">
      <c r="A74" t="s">
        <v>2317</v>
      </c>
      <c r="B74" t="s">
        <v>1462</v>
      </c>
      <c r="C74" s="32" t="s">
        <v>607</v>
      </c>
      <c r="D74" t="s">
        <v>1463</v>
      </c>
      <c r="E74" s="54">
        <v>10207.39</v>
      </c>
      <c r="F74" s="54">
        <v>1607.29</v>
      </c>
      <c r="G74" s="54">
        <v>12142</v>
      </c>
      <c r="H74" s="54">
        <v>0</v>
      </c>
      <c r="I74" t="s">
        <v>2877</v>
      </c>
      <c r="J74" s="31">
        <v>1607.29</v>
      </c>
      <c r="K74" s="36" t="s">
        <v>5840</v>
      </c>
      <c r="L74" t="s">
        <v>2502</v>
      </c>
      <c r="M74" t="s">
        <v>1464</v>
      </c>
      <c r="N74" t="s">
        <v>1465</v>
      </c>
      <c r="O74" t="s">
        <v>67</v>
      </c>
      <c r="Q74" s="23">
        <v>46226.058801817133</v>
      </c>
      <c r="R74" s="32">
        <f>IF(OR(tbl_de_massas[[#This Row],[dia_vencimento]]="", tbl_de_massas[[#This Row],[dia_vencimento]]="--"), "", WORKDAY(tbl_de_massas[[#This Row],[dia_vencimento]], 5))</f>
        <v>20</v>
      </c>
    </row>
    <row r="75" spans="1:18" x14ac:dyDescent="0.25">
      <c r="A75" t="s">
        <v>2318</v>
      </c>
      <c r="B75" t="s">
        <v>1698</v>
      </c>
      <c r="C75" s="32" t="s">
        <v>607</v>
      </c>
      <c r="D75" t="s">
        <v>1699</v>
      </c>
      <c r="E75" s="54">
        <v>12429.42</v>
      </c>
      <c r="F75" s="54">
        <v>7293.74</v>
      </c>
      <c r="G75" s="54">
        <v>13908.64</v>
      </c>
      <c r="H75" s="54">
        <v>0</v>
      </c>
      <c r="I75" t="s">
        <v>2877</v>
      </c>
      <c r="J75" s="31">
        <v>7293.74</v>
      </c>
      <c r="K75" s="36" t="s">
        <v>5841</v>
      </c>
      <c r="L75" t="s">
        <v>2502</v>
      </c>
      <c r="M75" t="s">
        <v>1700</v>
      </c>
      <c r="N75" t="s">
        <v>1701</v>
      </c>
      <c r="O75" t="s">
        <v>67</v>
      </c>
      <c r="Q75" s="23">
        <v>46226.059991377311</v>
      </c>
      <c r="R75" s="32">
        <f>IF(OR(tbl_de_massas[[#This Row],[dia_vencimento]]="", tbl_de_massas[[#This Row],[dia_vencimento]]="--"), "", WORKDAY(tbl_de_massas[[#This Row],[dia_vencimento]], 5))</f>
        <v>20</v>
      </c>
    </row>
    <row r="76" spans="1:18" x14ac:dyDescent="0.25">
      <c r="A76" t="s">
        <v>2319</v>
      </c>
      <c r="B76" t="s">
        <v>1875</v>
      </c>
      <c r="C76" s="32" t="s">
        <v>607</v>
      </c>
      <c r="D76" t="s">
        <v>1876</v>
      </c>
      <c r="E76" s="54">
        <v>7500</v>
      </c>
      <c r="F76" s="54">
        <v>1730.55</v>
      </c>
      <c r="G76" s="54">
        <v>10269.450000000001</v>
      </c>
      <c r="H76" s="54">
        <v>0</v>
      </c>
      <c r="I76" t="s">
        <v>2877</v>
      </c>
      <c r="J76" s="31">
        <v>1730.55</v>
      </c>
      <c r="K76" s="36" t="s">
        <v>5840</v>
      </c>
      <c r="L76" t="s">
        <v>2502</v>
      </c>
      <c r="M76" t="s">
        <v>1877</v>
      </c>
      <c r="N76" t="s">
        <v>1878</v>
      </c>
      <c r="O76" t="s">
        <v>67</v>
      </c>
      <c r="Q76" s="23">
        <v>46226.061586226853</v>
      </c>
      <c r="R76" s="32">
        <f>IF(OR(tbl_de_massas[[#This Row],[dia_vencimento]]="", tbl_de_massas[[#This Row],[dia_vencimento]]="--"), "", WORKDAY(tbl_de_massas[[#This Row],[dia_vencimento]], 5))</f>
        <v>20</v>
      </c>
    </row>
    <row r="77" spans="1:18" x14ac:dyDescent="0.25">
      <c r="A77" t="s">
        <v>2320</v>
      </c>
      <c r="B77" t="s">
        <v>1498</v>
      </c>
      <c r="C77" s="32" t="s">
        <v>607</v>
      </c>
      <c r="D77" t="s">
        <v>1499</v>
      </c>
      <c r="E77" s="54">
        <v>1087.55</v>
      </c>
      <c r="F77" s="54">
        <v>0</v>
      </c>
      <c r="G77" s="54">
        <v>15000</v>
      </c>
      <c r="H77" s="54">
        <v>0</v>
      </c>
      <c r="I77" t="s">
        <v>2876</v>
      </c>
      <c r="J77" s="31">
        <v>11781.14</v>
      </c>
      <c r="K77" s="36" t="s">
        <v>1306</v>
      </c>
      <c r="L77" t="s">
        <v>2504</v>
      </c>
      <c r="M77" t="s">
        <v>1500</v>
      </c>
      <c r="N77" t="s">
        <v>1501</v>
      </c>
      <c r="O77" t="s">
        <v>67</v>
      </c>
      <c r="Q77" s="23">
        <v>46226.062685972225</v>
      </c>
      <c r="R77" s="32">
        <f>IF(OR(tbl_de_massas[[#This Row],[dia_vencimento]]="", tbl_de_massas[[#This Row],[dia_vencimento]]="--"), "", WORKDAY(tbl_de_massas[[#This Row],[dia_vencimento]], 5))</f>
        <v>20</v>
      </c>
    </row>
    <row r="78" spans="1:18" x14ac:dyDescent="0.25">
      <c r="A78" t="s">
        <v>2321</v>
      </c>
      <c r="B78" t="s">
        <v>1502</v>
      </c>
      <c r="C78" s="32" t="s">
        <v>607</v>
      </c>
      <c r="D78" t="s">
        <v>1499</v>
      </c>
      <c r="E78" s="54">
        <v>10000</v>
      </c>
      <c r="F78" s="54">
        <v>6039.07</v>
      </c>
      <c r="G78" s="54">
        <v>8960.93</v>
      </c>
      <c r="H78" s="54">
        <v>0</v>
      </c>
      <c r="I78" t="s">
        <v>2877</v>
      </c>
      <c r="J78" s="31">
        <v>6039.07</v>
      </c>
      <c r="K78" s="36" t="s">
        <v>5841</v>
      </c>
      <c r="L78" t="s">
        <v>2502</v>
      </c>
      <c r="M78" t="s">
        <v>1503</v>
      </c>
      <c r="N78" t="s">
        <v>1504</v>
      </c>
      <c r="O78" t="s">
        <v>1505</v>
      </c>
      <c r="P78" t="s">
        <v>1504</v>
      </c>
      <c r="Q78" s="23">
        <v>46226.063261261574</v>
      </c>
      <c r="R78" s="32">
        <f>IF(OR(tbl_de_massas[[#This Row],[dia_vencimento]]="", tbl_de_massas[[#This Row],[dia_vencimento]]="--"), "", WORKDAY(tbl_de_massas[[#This Row],[dia_vencimento]], 5))</f>
        <v>20</v>
      </c>
    </row>
    <row r="79" spans="1:18" x14ac:dyDescent="0.25">
      <c r="A79" t="s">
        <v>2322</v>
      </c>
      <c r="B79" t="s">
        <v>1494</v>
      </c>
      <c r="C79" s="32" t="s">
        <v>607</v>
      </c>
      <c r="D79" t="s">
        <v>1495</v>
      </c>
      <c r="E79" s="54">
        <v>24289.7</v>
      </c>
      <c r="F79" s="54">
        <v>131.16999999999999</v>
      </c>
      <c r="G79" s="54">
        <v>49868.83</v>
      </c>
      <c r="H79" s="54">
        <v>0</v>
      </c>
      <c r="I79" t="s">
        <v>2876</v>
      </c>
      <c r="J79" s="31">
        <v>131.16999999999999</v>
      </c>
      <c r="K79" s="36" t="s">
        <v>1306</v>
      </c>
      <c r="L79" t="s">
        <v>2504</v>
      </c>
      <c r="M79" t="s">
        <v>1496</v>
      </c>
      <c r="N79" t="s">
        <v>1345</v>
      </c>
      <c r="O79" t="s">
        <v>1497</v>
      </c>
      <c r="P79" t="s">
        <v>1345</v>
      </c>
      <c r="Q79" s="23">
        <v>46226.070635497686</v>
      </c>
      <c r="R79" s="32">
        <f>IF(OR(tbl_de_massas[[#This Row],[dia_vencimento]]="", tbl_de_massas[[#This Row],[dia_vencimento]]="--"), "", WORKDAY(tbl_de_massas[[#This Row],[dia_vencimento]], 5))</f>
        <v>20</v>
      </c>
    </row>
    <row r="80" spans="1:18" x14ac:dyDescent="0.25">
      <c r="A80" t="s">
        <v>2323</v>
      </c>
      <c r="B80" t="s">
        <v>1628</v>
      </c>
      <c r="C80" s="32" t="s">
        <v>607</v>
      </c>
      <c r="D80" t="s">
        <v>1629</v>
      </c>
      <c r="E80" s="54">
        <v>8658.89</v>
      </c>
      <c r="F80" s="54">
        <v>1046.82</v>
      </c>
      <c r="G80" s="54">
        <v>7734.43</v>
      </c>
      <c r="H80" s="54">
        <v>0</v>
      </c>
      <c r="I80" t="s">
        <v>2877</v>
      </c>
      <c r="J80" s="31">
        <v>1046.82</v>
      </c>
      <c r="K80" s="36" t="s">
        <v>5840</v>
      </c>
      <c r="L80" t="s">
        <v>2502</v>
      </c>
      <c r="M80" t="s">
        <v>1630</v>
      </c>
      <c r="N80" t="s">
        <v>1341</v>
      </c>
      <c r="O80" t="s">
        <v>67</v>
      </c>
      <c r="Q80" s="23">
        <v>46226.08336178241</v>
      </c>
      <c r="R80" s="32">
        <f>IF(OR(tbl_de_massas[[#This Row],[dia_vencimento]]="", tbl_de_massas[[#This Row],[dia_vencimento]]="--"), "", WORKDAY(tbl_de_massas[[#This Row],[dia_vencimento]], 5))</f>
        <v>20</v>
      </c>
    </row>
    <row r="81" spans="1:18" x14ac:dyDescent="0.25">
      <c r="A81" t="s">
        <v>2324</v>
      </c>
      <c r="B81" t="s">
        <v>2019</v>
      </c>
      <c r="C81" s="32" t="s">
        <v>607</v>
      </c>
      <c r="D81" t="s">
        <v>2020</v>
      </c>
      <c r="E81" s="54">
        <v>18106.900000000001</v>
      </c>
      <c r="F81" s="54">
        <v>1273.31</v>
      </c>
      <c r="G81" s="54">
        <v>11528.34</v>
      </c>
      <c r="H81" s="54">
        <v>0</v>
      </c>
      <c r="I81" t="s">
        <v>2876</v>
      </c>
      <c r="J81" s="31">
        <v>1273.31</v>
      </c>
      <c r="K81" s="36" t="s">
        <v>1306</v>
      </c>
      <c r="L81" t="s">
        <v>2504</v>
      </c>
      <c r="M81" t="s">
        <v>2021</v>
      </c>
      <c r="N81" t="s">
        <v>1341</v>
      </c>
      <c r="O81" t="s">
        <v>67</v>
      </c>
      <c r="Q81" s="23">
        <v>46226.08595177083</v>
      </c>
      <c r="R81" s="32">
        <f>IF(OR(tbl_de_massas[[#This Row],[dia_vencimento]]="", tbl_de_massas[[#This Row],[dia_vencimento]]="--"), "", WORKDAY(tbl_de_massas[[#This Row],[dia_vencimento]], 5))</f>
        <v>20</v>
      </c>
    </row>
    <row r="82" spans="1:18" x14ac:dyDescent="0.25">
      <c r="A82" t="s">
        <v>2325</v>
      </c>
      <c r="B82" t="s">
        <v>1788</v>
      </c>
      <c r="C82" s="32" t="s">
        <v>607</v>
      </c>
      <c r="D82" t="s">
        <v>1789</v>
      </c>
      <c r="E82" s="54">
        <v>2000</v>
      </c>
      <c r="F82" s="54">
        <v>7741.85</v>
      </c>
      <c r="G82" s="54">
        <v>-2741.85</v>
      </c>
      <c r="H82" s="54">
        <v>0</v>
      </c>
      <c r="I82" t="s">
        <v>2877</v>
      </c>
      <c r="J82" s="31">
        <v>6686.8</v>
      </c>
      <c r="K82" s="36" t="s">
        <v>5841</v>
      </c>
      <c r="L82" t="s">
        <v>2502</v>
      </c>
      <c r="M82" t="s">
        <v>1790</v>
      </c>
      <c r="N82" t="s">
        <v>1791</v>
      </c>
      <c r="O82" t="s">
        <v>67</v>
      </c>
      <c r="Q82" s="23">
        <v>46227.003081932868</v>
      </c>
      <c r="R82" s="32">
        <f>IF(OR(tbl_de_massas[[#This Row],[dia_vencimento]]="", tbl_de_massas[[#This Row],[dia_vencimento]]="--"), "", WORKDAY(tbl_de_massas[[#This Row],[dia_vencimento]], 5))</f>
        <v>20</v>
      </c>
    </row>
    <row r="83" spans="1:18" x14ac:dyDescent="0.25">
      <c r="A83" t="s">
        <v>2326</v>
      </c>
      <c r="B83" t="s">
        <v>1882</v>
      </c>
      <c r="C83" s="32" t="s">
        <v>607</v>
      </c>
      <c r="D83" t="s">
        <v>1883</v>
      </c>
      <c r="E83" s="54">
        <v>2000</v>
      </c>
      <c r="F83" s="54">
        <v>1185.24</v>
      </c>
      <c r="G83" s="54">
        <v>3814.76</v>
      </c>
      <c r="H83" s="54">
        <v>0</v>
      </c>
      <c r="I83" t="s">
        <v>2876</v>
      </c>
      <c r="J83" s="31">
        <v>130.19</v>
      </c>
      <c r="K83" s="36" t="s">
        <v>1306</v>
      </c>
      <c r="L83" t="s">
        <v>2504</v>
      </c>
      <c r="M83" t="s">
        <v>1884</v>
      </c>
      <c r="N83" t="s">
        <v>1885</v>
      </c>
      <c r="O83" t="s">
        <v>67</v>
      </c>
      <c r="Q83" s="23">
        <v>46227.032733576387</v>
      </c>
      <c r="R83" s="32">
        <f>IF(OR(tbl_de_massas[[#This Row],[dia_vencimento]]="", tbl_de_massas[[#This Row],[dia_vencimento]]="--"), "", WORKDAY(tbl_de_massas[[#This Row],[dia_vencimento]], 5))</f>
        <v>20</v>
      </c>
    </row>
    <row r="84" spans="1:18" x14ac:dyDescent="0.25">
      <c r="A84" t="s">
        <v>2327</v>
      </c>
      <c r="B84" t="s">
        <v>1852</v>
      </c>
      <c r="C84" s="32" t="s">
        <v>607</v>
      </c>
      <c r="D84" t="s">
        <v>1853</v>
      </c>
      <c r="E84" s="54">
        <v>4954.18</v>
      </c>
      <c r="F84" s="54">
        <v>1032.82</v>
      </c>
      <c r="G84" s="54">
        <v>14587.15</v>
      </c>
      <c r="H84" s="54">
        <v>0</v>
      </c>
      <c r="I84" t="s">
        <v>2877</v>
      </c>
      <c r="J84" s="31">
        <v>1032.82</v>
      </c>
      <c r="K84" s="36" t="s">
        <v>5840</v>
      </c>
      <c r="L84" t="s">
        <v>2502</v>
      </c>
      <c r="M84" t="s">
        <v>1854</v>
      </c>
      <c r="N84" t="s">
        <v>1341</v>
      </c>
      <c r="O84" t="s">
        <v>67</v>
      </c>
      <c r="Q84" s="23">
        <v>46227.032754270833</v>
      </c>
      <c r="R84" s="32">
        <f>IF(OR(tbl_de_massas[[#This Row],[dia_vencimento]]="", tbl_de_massas[[#This Row],[dia_vencimento]]="--"), "", WORKDAY(tbl_de_massas[[#This Row],[dia_vencimento]], 5))</f>
        <v>20</v>
      </c>
    </row>
    <row r="85" spans="1:18" x14ac:dyDescent="0.25">
      <c r="A85" t="s">
        <v>2328</v>
      </c>
      <c r="B85" t="s">
        <v>1608</v>
      </c>
      <c r="C85" s="32" t="s">
        <v>607</v>
      </c>
      <c r="D85" t="s">
        <v>1609</v>
      </c>
      <c r="E85" s="54">
        <v>24617.68</v>
      </c>
      <c r="F85" s="54">
        <v>3098.35</v>
      </c>
      <c r="G85" s="54">
        <v>11901.65</v>
      </c>
      <c r="H85" s="54">
        <v>0</v>
      </c>
      <c r="I85" t="s">
        <v>2876</v>
      </c>
      <c r="J85" s="31">
        <v>2098.35</v>
      </c>
      <c r="K85" s="36" t="s">
        <v>1306</v>
      </c>
      <c r="L85" t="s">
        <v>2504</v>
      </c>
      <c r="M85" t="s">
        <v>1610</v>
      </c>
      <c r="N85" t="s">
        <v>1611</v>
      </c>
      <c r="O85" t="s">
        <v>67</v>
      </c>
      <c r="Q85" s="23">
        <v>46227.043519270832</v>
      </c>
      <c r="R85" s="32">
        <f>IF(OR(tbl_de_massas[[#This Row],[dia_vencimento]]="", tbl_de_massas[[#This Row],[dia_vencimento]]="--"), "", WORKDAY(tbl_de_massas[[#This Row],[dia_vencimento]], 5))</f>
        <v>20</v>
      </c>
    </row>
    <row r="86" spans="1:18" x14ac:dyDescent="0.25">
      <c r="A86" t="s">
        <v>2329</v>
      </c>
      <c r="B86" t="s">
        <v>1640</v>
      </c>
      <c r="C86" s="32" t="s">
        <v>607</v>
      </c>
      <c r="D86" t="s">
        <v>1641</v>
      </c>
      <c r="E86" s="54">
        <v>951.53</v>
      </c>
      <c r="F86" s="54">
        <v>285.72000000000003</v>
      </c>
      <c r="G86" s="54">
        <v>4714.28</v>
      </c>
      <c r="H86" s="54">
        <v>0</v>
      </c>
      <c r="I86" t="s">
        <v>2876</v>
      </c>
      <c r="J86" s="31">
        <v>164.57</v>
      </c>
      <c r="K86" s="36" t="s">
        <v>1306</v>
      </c>
      <c r="L86" t="s">
        <v>2504</v>
      </c>
      <c r="M86" t="s">
        <v>1642</v>
      </c>
      <c r="N86" t="s">
        <v>1643</v>
      </c>
      <c r="O86" t="s">
        <v>67</v>
      </c>
      <c r="Q86" s="23">
        <v>46227.045257141202</v>
      </c>
      <c r="R86" s="32">
        <f>IF(OR(tbl_de_massas[[#This Row],[dia_vencimento]]="", tbl_de_massas[[#This Row],[dia_vencimento]]="--"), "", WORKDAY(tbl_de_massas[[#This Row],[dia_vencimento]], 5))</f>
        <v>20</v>
      </c>
    </row>
    <row r="87" spans="1:18" x14ac:dyDescent="0.25">
      <c r="A87" t="s">
        <v>2330</v>
      </c>
      <c r="B87" t="s">
        <v>1454</v>
      </c>
      <c r="C87" s="32" t="s">
        <v>607</v>
      </c>
      <c r="D87" t="s">
        <v>1455</v>
      </c>
      <c r="E87" s="54">
        <v>7110.18</v>
      </c>
      <c r="F87" s="54">
        <v>1509.48</v>
      </c>
      <c r="G87" s="54">
        <v>15607.96</v>
      </c>
      <c r="H87" s="54">
        <v>0</v>
      </c>
      <c r="I87" t="s">
        <v>2876</v>
      </c>
      <c r="J87" s="31">
        <v>1509.48</v>
      </c>
      <c r="K87" s="36" t="s">
        <v>1306</v>
      </c>
      <c r="L87" t="s">
        <v>2504</v>
      </c>
      <c r="M87" t="s">
        <v>1456</v>
      </c>
      <c r="N87" t="s">
        <v>1341</v>
      </c>
      <c r="O87" t="s">
        <v>67</v>
      </c>
      <c r="Q87" s="23">
        <v>46227.091320914355</v>
      </c>
      <c r="R87" s="32">
        <f>IF(OR(tbl_de_massas[[#This Row],[dia_vencimento]]="", tbl_de_massas[[#This Row],[dia_vencimento]]="--"), "", WORKDAY(tbl_de_massas[[#This Row],[dia_vencimento]], 5))</f>
        <v>20</v>
      </c>
    </row>
    <row r="88" spans="1:18" x14ac:dyDescent="0.25">
      <c r="A88" t="s">
        <v>2331</v>
      </c>
      <c r="B88" t="s">
        <v>1757</v>
      </c>
      <c r="C88" s="32" t="s">
        <v>607</v>
      </c>
      <c r="D88" t="s">
        <v>1758</v>
      </c>
      <c r="E88" s="54">
        <v>5795.72</v>
      </c>
      <c r="F88" s="54">
        <v>1488.01</v>
      </c>
      <c r="G88" s="54">
        <v>7886.92</v>
      </c>
      <c r="H88" s="54">
        <v>0</v>
      </c>
      <c r="I88" t="s">
        <v>2876</v>
      </c>
      <c r="J88" s="31">
        <v>1488.01</v>
      </c>
      <c r="K88" s="36" t="s">
        <v>1306</v>
      </c>
      <c r="L88" t="s">
        <v>2504</v>
      </c>
      <c r="M88" t="s">
        <v>1759</v>
      </c>
      <c r="N88" t="s">
        <v>1341</v>
      </c>
      <c r="O88" t="s">
        <v>67</v>
      </c>
      <c r="Q88" s="23">
        <v>46227.092144479167</v>
      </c>
      <c r="R88" s="32">
        <f>IF(OR(tbl_de_massas[[#This Row],[dia_vencimento]]="", tbl_de_massas[[#This Row],[dia_vencimento]]="--"), "", WORKDAY(tbl_de_massas[[#This Row],[dia_vencimento]], 5))</f>
        <v>20</v>
      </c>
    </row>
    <row r="89" spans="1:18" x14ac:dyDescent="0.25">
      <c r="A89" t="s">
        <v>2332</v>
      </c>
      <c r="B89" t="s">
        <v>1448</v>
      </c>
      <c r="C89" s="32" t="s">
        <v>607</v>
      </c>
      <c r="D89" t="s">
        <v>1446</v>
      </c>
      <c r="E89" s="54">
        <v>16123.99</v>
      </c>
      <c r="F89" s="54">
        <v>1273.31</v>
      </c>
      <c r="G89" s="54">
        <v>1953.8</v>
      </c>
      <c r="H89" s="54">
        <v>0</v>
      </c>
      <c r="I89" t="s">
        <v>2876</v>
      </c>
      <c r="J89" s="31">
        <v>1273.31</v>
      </c>
      <c r="K89" s="36" t="s">
        <v>1306</v>
      </c>
      <c r="L89" t="s">
        <v>2504</v>
      </c>
      <c r="M89" t="s">
        <v>1449</v>
      </c>
      <c r="N89" t="s">
        <v>1341</v>
      </c>
      <c r="O89" t="s">
        <v>67</v>
      </c>
      <c r="Q89" s="23">
        <v>46227.092706481482</v>
      </c>
      <c r="R89" s="32">
        <f>IF(OR(tbl_de_massas[[#This Row],[dia_vencimento]]="", tbl_de_massas[[#This Row],[dia_vencimento]]="--"), "", WORKDAY(tbl_de_massas[[#This Row],[dia_vencimento]], 5))</f>
        <v>20</v>
      </c>
    </row>
    <row r="90" spans="1:18" x14ac:dyDescent="0.25">
      <c r="A90" t="s">
        <v>2333</v>
      </c>
      <c r="B90" t="s">
        <v>1808</v>
      </c>
      <c r="C90" s="32" t="s">
        <v>607</v>
      </c>
      <c r="D90" t="s">
        <v>1809</v>
      </c>
      <c r="E90" s="54">
        <v>11633.36</v>
      </c>
      <c r="F90" s="54">
        <v>1509.48</v>
      </c>
      <c r="G90" s="54">
        <v>12268.95</v>
      </c>
      <c r="H90" s="54">
        <v>0</v>
      </c>
      <c r="I90" t="s">
        <v>2876</v>
      </c>
      <c r="J90" s="31">
        <v>1509.48</v>
      </c>
      <c r="K90" s="36" t="s">
        <v>1306</v>
      </c>
      <c r="L90" t="s">
        <v>2504</v>
      </c>
      <c r="M90" t="s">
        <v>1810</v>
      </c>
      <c r="N90" t="s">
        <v>1341</v>
      </c>
      <c r="O90" t="s">
        <v>67</v>
      </c>
      <c r="Q90" s="23">
        <v>46227.702812094911</v>
      </c>
      <c r="R90" s="32">
        <f>IF(OR(tbl_de_massas[[#This Row],[dia_vencimento]]="", tbl_de_massas[[#This Row],[dia_vencimento]]="--"), "", WORKDAY(tbl_de_massas[[#This Row],[dia_vencimento]], 5))</f>
        <v>20</v>
      </c>
    </row>
    <row r="91" spans="1:18" x14ac:dyDescent="0.25">
      <c r="A91" t="s">
        <v>2334</v>
      </c>
      <c r="B91" t="s">
        <v>2034</v>
      </c>
      <c r="C91" s="32" t="s">
        <v>605</v>
      </c>
      <c r="D91" t="s">
        <v>2035</v>
      </c>
      <c r="E91" s="54">
        <v>6872.92</v>
      </c>
      <c r="F91" s="54">
        <v>2466.79</v>
      </c>
      <c r="G91" s="54">
        <v>504.27</v>
      </c>
      <c r="H91" s="54">
        <v>0</v>
      </c>
      <c r="I91" t="s">
        <v>2876</v>
      </c>
      <c r="J91" s="31">
        <v>66.790000000000006</v>
      </c>
      <c r="K91" s="36" t="s">
        <v>1306</v>
      </c>
      <c r="L91" t="s">
        <v>2504</v>
      </c>
      <c r="M91" t="s">
        <v>2036</v>
      </c>
      <c r="N91" t="s">
        <v>1341</v>
      </c>
      <c r="O91" t="s">
        <v>67</v>
      </c>
      <c r="Q91" s="23">
        <v>46227.713644745367</v>
      </c>
      <c r="R91" s="32">
        <f>IF(OR(tbl_de_massas[[#This Row],[dia_vencimento]]="", tbl_de_massas[[#This Row],[dia_vencimento]]="--"), "", WORKDAY(tbl_de_massas[[#This Row],[dia_vencimento]], 5))</f>
        <v>17</v>
      </c>
    </row>
    <row r="92" spans="1:18" x14ac:dyDescent="0.25">
      <c r="A92" t="s">
        <v>2335</v>
      </c>
      <c r="B92" t="s">
        <v>1332</v>
      </c>
      <c r="C92" s="32" t="s">
        <v>605</v>
      </c>
      <c r="D92" t="s">
        <v>2515</v>
      </c>
      <c r="E92" s="54">
        <v>2000</v>
      </c>
      <c r="F92" s="54">
        <v>2074.0500000000002</v>
      </c>
      <c r="G92" s="54">
        <v>2925.95</v>
      </c>
      <c r="H92" s="54">
        <v>0</v>
      </c>
      <c r="I92" t="s">
        <v>2877</v>
      </c>
      <c r="J92" s="31">
        <v>1019</v>
      </c>
      <c r="K92" s="36" t="s">
        <v>5840</v>
      </c>
      <c r="L92" t="s">
        <v>2502</v>
      </c>
      <c r="M92" t="s">
        <v>1333</v>
      </c>
      <c r="N92" t="s">
        <v>1334</v>
      </c>
      <c r="O92" t="s">
        <v>67</v>
      </c>
      <c r="Q92" s="23">
        <v>46228.083944062499</v>
      </c>
      <c r="R92" s="32">
        <f>IF(OR(tbl_de_massas[[#This Row],[dia_vencimento]]="", tbl_de_massas[[#This Row],[dia_vencimento]]="--"), "", WORKDAY(tbl_de_massas[[#This Row],[dia_vencimento]], 5))</f>
        <v>17</v>
      </c>
    </row>
    <row r="93" spans="1:18" x14ac:dyDescent="0.25">
      <c r="A93" t="s">
        <v>2336</v>
      </c>
      <c r="B93" t="s">
        <v>1902</v>
      </c>
      <c r="C93" s="32" t="s">
        <v>607</v>
      </c>
      <c r="D93" t="s">
        <v>1903</v>
      </c>
      <c r="E93" s="54">
        <v>11042.91</v>
      </c>
      <c r="F93" s="54">
        <v>643.45000000000005</v>
      </c>
      <c r="G93" s="54">
        <v>9472.5400000000009</v>
      </c>
      <c r="H93" s="54">
        <v>0</v>
      </c>
      <c r="I93" t="s">
        <v>2877</v>
      </c>
      <c r="J93" s="31">
        <v>643.45000000000005</v>
      </c>
      <c r="K93" s="36" t="s">
        <v>1306</v>
      </c>
      <c r="L93" t="s">
        <v>2504</v>
      </c>
      <c r="M93" t="s">
        <v>1904</v>
      </c>
      <c r="N93" t="s">
        <v>1341</v>
      </c>
      <c r="O93" t="s">
        <v>67</v>
      </c>
      <c r="Q93" s="23">
        <v>46230.152296446759</v>
      </c>
      <c r="R93" s="32">
        <f>IF(OR(tbl_de_massas[[#This Row],[dia_vencimento]]="", tbl_de_massas[[#This Row],[dia_vencimento]]="--"), "", WORKDAY(tbl_de_massas[[#This Row],[dia_vencimento]], 5))</f>
        <v>20</v>
      </c>
    </row>
    <row r="94" spans="1:18" x14ac:dyDescent="0.25">
      <c r="A94" t="s">
        <v>2337</v>
      </c>
      <c r="B94" t="s">
        <v>1605</v>
      </c>
      <c r="C94" s="32" t="s">
        <v>608</v>
      </c>
      <c r="D94" t="s">
        <v>1606</v>
      </c>
      <c r="E94" s="54">
        <v>6756.02</v>
      </c>
      <c r="F94" s="54">
        <v>6428.14</v>
      </c>
      <c r="G94" s="54">
        <v>2363.34</v>
      </c>
      <c r="H94" s="54">
        <v>0</v>
      </c>
      <c r="I94" t="s">
        <v>2877</v>
      </c>
      <c r="J94" s="31">
        <v>6428.14</v>
      </c>
      <c r="K94" s="36" t="s">
        <v>5842</v>
      </c>
      <c r="L94" t="s">
        <v>2502</v>
      </c>
      <c r="M94" t="s">
        <v>1607</v>
      </c>
      <c r="N94" t="s">
        <v>1341</v>
      </c>
      <c r="O94" t="s">
        <v>67</v>
      </c>
      <c r="Q94" s="23">
        <v>46230.152555451386</v>
      </c>
      <c r="R94" s="32">
        <f>IF(OR(tbl_de_massas[[#This Row],[dia_vencimento]]="", tbl_de_massas[[#This Row],[dia_vencimento]]="--"), "", WORKDAY(tbl_de_massas[[#This Row],[dia_vencimento]], 5))</f>
        <v>27</v>
      </c>
    </row>
    <row r="95" spans="1:18" x14ac:dyDescent="0.25">
      <c r="A95" t="s">
        <v>2338</v>
      </c>
      <c r="B95" t="s">
        <v>1886</v>
      </c>
      <c r="C95" s="32" t="s">
        <v>611</v>
      </c>
      <c r="D95" t="s">
        <v>1887</v>
      </c>
      <c r="E95" s="54">
        <v>11655.22</v>
      </c>
      <c r="F95" s="54">
        <v>782.04</v>
      </c>
      <c r="G95" s="54">
        <v>6607.36</v>
      </c>
      <c r="H95" s="54">
        <v>692.55</v>
      </c>
      <c r="I95" t="s">
        <v>2877</v>
      </c>
      <c r="J95" s="31">
        <v>782.04</v>
      </c>
      <c r="K95" s="36" t="s">
        <v>5829</v>
      </c>
      <c r="L95" t="s">
        <v>2502</v>
      </c>
      <c r="M95" t="s">
        <v>1888</v>
      </c>
      <c r="N95" t="s">
        <v>1341</v>
      </c>
      <c r="O95" t="s">
        <v>67</v>
      </c>
      <c r="Q95" s="23">
        <v>46232.992079490738</v>
      </c>
      <c r="R95" s="32">
        <f>IF(OR(tbl_de_massas[[#This Row],[dia_vencimento]]="", tbl_de_massas[[#This Row],[dia_vencimento]]="--"), "", WORKDAY(tbl_de_massas[[#This Row],[dia_vencimento]], 5))</f>
        <v>32</v>
      </c>
    </row>
    <row r="96" spans="1:18" x14ac:dyDescent="0.25">
      <c r="A96" t="s">
        <v>2339</v>
      </c>
      <c r="B96" t="s">
        <v>2095</v>
      </c>
      <c r="C96" s="32" t="s">
        <v>5827</v>
      </c>
      <c r="D96" t="s">
        <v>2096</v>
      </c>
      <c r="E96" s="54">
        <v>11627.15</v>
      </c>
      <c r="F96" s="54">
        <v>621.42999999999995</v>
      </c>
      <c r="G96" s="54">
        <v>19007.71</v>
      </c>
      <c r="H96" s="54">
        <v>115.45</v>
      </c>
      <c r="I96" t="s">
        <v>2877</v>
      </c>
      <c r="J96" s="31">
        <v>621.42999999999995</v>
      </c>
      <c r="K96" s="36" t="s">
        <v>5843</v>
      </c>
      <c r="L96" t="s">
        <v>2502</v>
      </c>
      <c r="M96" t="s">
        <v>2097</v>
      </c>
      <c r="N96" t="s">
        <v>1341</v>
      </c>
      <c r="O96" t="s">
        <v>67</v>
      </c>
      <c r="Q96" s="23">
        <v>46232.992214583333</v>
      </c>
      <c r="R96" s="32">
        <f>IF(OR(tbl_de_massas[[#This Row],[dia_vencimento]]="", tbl_de_massas[[#This Row],[dia_vencimento]]="--"), "", WORKDAY(tbl_de_massas[[#This Row],[dia_vencimento]], 5))</f>
        <v>12</v>
      </c>
    </row>
    <row r="97" spans="1:18" x14ac:dyDescent="0.25">
      <c r="A97" t="s">
        <v>2340</v>
      </c>
      <c r="B97" t="s">
        <v>1869</v>
      </c>
      <c r="C97" s="32" t="s">
        <v>608</v>
      </c>
      <c r="D97" t="s">
        <v>1870</v>
      </c>
      <c r="E97" s="54">
        <v>2913.49</v>
      </c>
      <c r="F97" s="54">
        <v>896.77</v>
      </c>
      <c r="G97" s="54">
        <v>4165.6000000000004</v>
      </c>
      <c r="H97" s="54">
        <v>0</v>
      </c>
      <c r="I97" t="s">
        <v>2877</v>
      </c>
      <c r="J97" s="31">
        <v>896.77</v>
      </c>
      <c r="K97" s="36" t="s">
        <v>5836</v>
      </c>
      <c r="L97" t="s">
        <v>2502</v>
      </c>
      <c r="M97" t="s">
        <v>1871</v>
      </c>
      <c r="N97" t="s">
        <v>1341</v>
      </c>
      <c r="O97" t="s">
        <v>67</v>
      </c>
      <c r="Q97" s="23">
        <v>46232.99238520833</v>
      </c>
      <c r="R97" s="32">
        <f>IF(OR(tbl_de_massas[[#This Row],[dia_vencimento]]="", tbl_de_massas[[#This Row],[dia_vencimento]]="--"), "", WORKDAY(tbl_de_massas[[#This Row],[dia_vencimento]], 5))</f>
        <v>27</v>
      </c>
    </row>
    <row r="98" spans="1:18" x14ac:dyDescent="0.25">
      <c r="A98" t="s">
        <v>2341</v>
      </c>
      <c r="B98" t="s">
        <v>1537</v>
      </c>
      <c r="C98" s="32" t="s">
        <v>608</v>
      </c>
      <c r="D98" t="s">
        <v>1535</v>
      </c>
      <c r="E98" s="54">
        <v>12495.7</v>
      </c>
      <c r="F98" s="54">
        <v>1098.21</v>
      </c>
      <c r="G98" s="54">
        <v>19602.330000000002</v>
      </c>
      <c r="H98" s="54">
        <v>0</v>
      </c>
      <c r="I98" t="s">
        <v>2877</v>
      </c>
      <c r="J98" s="31">
        <v>1098.21</v>
      </c>
      <c r="K98" s="36" t="s">
        <v>5836</v>
      </c>
      <c r="L98" t="s">
        <v>2502</v>
      </c>
      <c r="M98" t="s">
        <v>1538</v>
      </c>
      <c r="N98" t="s">
        <v>1345</v>
      </c>
      <c r="O98" t="s">
        <v>67</v>
      </c>
      <c r="Q98" s="23">
        <v>46232.992877268516</v>
      </c>
      <c r="R98" s="32">
        <f>IF(OR(tbl_de_massas[[#This Row],[dia_vencimento]]="", tbl_de_massas[[#This Row],[dia_vencimento]]="--"), "", WORKDAY(tbl_de_massas[[#This Row],[dia_vencimento]], 5))</f>
        <v>27</v>
      </c>
    </row>
    <row r="99" spans="1:18" x14ac:dyDescent="0.25">
      <c r="A99" t="s">
        <v>2342</v>
      </c>
      <c r="B99" t="s">
        <v>1879</v>
      </c>
      <c r="C99" s="32" t="s">
        <v>5827</v>
      </c>
      <c r="D99" t="s">
        <v>1880</v>
      </c>
      <c r="E99" s="54">
        <v>64817.760000000002</v>
      </c>
      <c r="F99" s="54">
        <v>837.65</v>
      </c>
      <c r="G99" s="54">
        <v>1402.82</v>
      </c>
      <c r="H99" s="54">
        <v>159.13</v>
      </c>
      <c r="I99" t="s">
        <v>2877</v>
      </c>
      <c r="J99" s="31">
        <v>837.65</v>
      </c>
      <c r="K99" s="36" t="s">
        <v>2360</v>
      </c>
      <c r="L99" t="s">
        <v>2502</v>
      </c>
      <c r="M99" t="s">
        <v>1881</v>
      </c>
      <c r="N99" t="s">
        <v>1341</v>
      </c>
      <c r="O99" t="s">
        <v>67</v>
      </c>
      <c r="Q99" s="23">
        <v>46232.993164664353</v>
      </c>
      <c r="R99" s="32">
        <f>IF(OR(tbl_de_massas[[#This Row],[dia_vencimento]]="", tbl_de_massas[[#This Row],[dia_vencimento]]="--"), "", WORKDAY(tbl_de_massas[[#This Row],[dia_vencimento]], 5))</f>
        <v>12</v>
      </c>
    </row>
    <row r="100" spans="1:18" x14ac:dyDescent="0.25">
      <c r="A100" t="s">
        <v>2343</v>
      </c>
      <c r="B100" t="s">
        <v>1935</v>
      </c>
      <c r="C100" s="32" t="s">
        <v>5827</v>
      </c>
      <c r="D100" t="s">
        <v>1936</v>
      </c>
      <c r="E100" s="54">
        <v>13992.61</v>
      </c>
      <c r="F100" s="54">
        <v>5524.5</v>
      </c>
      <c r="G100" s="54">
        <v>15476.29</v>
      </c>
      <c r="H100" s="54">
        <v>0</v>
      </c>
      <c r="I100" t="s">
        <v>2876</v>
      </c>
      <c r="J100" s="31">
        <v>724.5</v>
      </c>
      <c r="K100" s="36" t="s">
        <v>1306</v>
      </c>
      <c r="L100" t="s">
        <v>2504</v>
      </c>
      <c r="M100" t="s">
        <v>1937</v>
      </c>
      <c r="N100" t="s">
        <v>1341</v>
      </c>
      <c r="O100" t="s">
        <v>67</v>
      </c>
      <c r="Q100" s="23">
        <v>46232.993239537034</v>
      </c>
      <c r="R100" s="32">
        <f>IF(OR(tbl_de_massas[[#This Row],[dia_vencimento]]="", tbl_de_massas[[#This Row],[dia_vencimento]]="--"), "", WORKDAY(tbl_de_massas[[#This Row],[dia_vencimento]], 5))</f>
        <v>12</v>
      </c>
    </row>
    <row r="101" spans="1:18" x14ac:dyDescent="0.25">
      <c r="A101" t="s">
        <v>2132</v>
      </c>
      <c r="B101" t="s">
        <v>1813</v>
      </c>
      <c r="C101" s="32" t="s">
        <v>5827</v>
      </c>
      <c r="D101" t="s">
        <v>1814</v>
      </c>
      <c r="E101" s="54">
        <v>6994.48</v>
      </c>
      <c r="F101" s="54">
        <v>0</v>
      </c>
      <c r="G101" s="54">
        <v>5000</v>
      </c>
      <c r="H101" s="54">
        <v>0</v>
      </c>
      <c r="I101" t="s">
        <v>2876</v>
      </c>
      <c r="J101" s="31">
        <v>0</v>
      </c>
      <c r="K101" s="36" t="s">
        <v>1306</v>
      </c>
      <c r="L101" t="s">
        <v>2504</v>
      </c>
      <c r="M101" t="s">
        <v>1815</v>
      </c>
      <c r="N101" t="s">
        <v>1341</v>
      </c>
      <c r="O101" t="s">
        <v>67</v>
      </c>
      <c r="Q101" s="23">
        <v>46232.993319004629</v>
      </c>
      <c r="R101" s="32">
        <f>IF(OR(tbl_de_massas[[#This Row],[dia_vencimento]]="", tbl_de_massas[[#This Row],[dia_vencimento]]="--"), "", WORKDAY(tbl_de_massas[[#This Row],[dia_vencimento]], 5))</f>
        <v>12</v>
      </c>
    </row>
    <row r="102" spans="1:18" x14ac:dyDescent="0.25">
      <c r="A102" t="s">
        <v>2133</v>
      </c>
      <c r="B102" t="s">
        <v>1647</v>
      </c>
      <c r="C102" s="32" t="s">
        <v>607</v>
      </c>
      <c r="D102" t="s">
        <v>1645</v>
      </c>
      <c r="E102" s="54">
        <v>5744.79</v>
      </c>
      <c r="F102" s="54">
        <v>860.78</v>
      </c>
      <c r="G102" s="54">
        <v>7791.71</v>
      </c>
      <c r="H102" s="54">
        <v>0</v>
      </c>
      <c r="I102" t="s">
        <v>2877</v>
      </c>
      <c r="J102" s="31">
        <v>860.78</v>
      </c>
      <c r="K102" s="36" t="s">
        <v>2923</v>
      </c>
      <c r="L102" t="s">
        <v>2502</v>
      </c>
      <c r="M102" t="s">
        <v>1648</v>
      </c>
      <c r="N102" t="s">
        <v>1341</v>
      </c>
      <c r="O102" t="s">
        <v>67</v>
      </c>
      <c r="Q102" s="23">
        <v>46234.060672094907</v>
      </c>
      <c r="R102" s="32">
        <f>IF(OR(tbl_de_massas[[#This Row],[dia_vencimento]]="", tbl_de_massas[[#This Row],[dia_vencimento]]="--"), "", WORKDAY(tbl_de_massas[[#This Row],[dia_vencimento]], 5))</f>
        <v>20</v>
      </c>
    </row>
    <row r="103" spans="1:18" x14ac:dyDescent="0.25">
      <c r="A103" t="s">
        <v>2134</v>
      </c>
      <c r="B103" t="s">
        <v>2017</v>
      </c>
      <c r="C103" s="32" t="s">
        <v>5827</v>
      </c>
      <c r="D103" t="s">
        <v>2015</v>
      </c>
      <c r="E103" s="54">
        <v>10010.49</v>
      </c>
      <c r="F103" s="54">
        <v>1073.54</v>
      </c>
      <c r="G103" s="54">
        <v>7810.89</v>
      </c>
      <c r="H103" s="54">
        <v>199.3</v>
      </c>
      <c r="I103" t="s">
        <v>2877</v>
      </c>
      <c r="J103" s="31">
        <v>1073.54</v>
      </c>
      <c r="K103" s="36" t="s">
        <v>5843</v>
      </c>
      <c r="L103" t="s">
        <v>2502</v>
      </c>
      <c r="M103" t="s">
        <v>2018</v>
      </c>
      <c r="N103" t="s">
        <v>1341</v>
      </c>
      <c r="O103" t="s">
        <v>67</v>
      </c>
      <c r="Q103" s="23">
        <v>46234.060997615743</v>
      </c>
      <c r="R103" s="32">
        <f>IF(OR(tbl_de_massas[[#This Row],[dia_vencimento]]="", tbl_de_massas[[#This Row],[dia_vencimento]]="--"), "", WORKDAY(tbl_de_massas[[#This Row],[dia_vencimento]], 5))</f>
        <v>12</v>
      </c>
    </row>
    <row r="104" spans="1:18" x14ac:dyDescent="0.25">
      <c r="A104" t="s">
        <v>2135</v>
      </c>
      <c r="B104" t="s">
        <v>1775</v>
      </c>
      <c r="C104" s="32" t="s">
        <v>611</v>
      </c>
      <c r="D104" t="s">
        <v>1776</v>
      </c>
      <c r="E104" s="54">
        <v>7506</v>
      </c>
      <c r="F104" s="54">
        <v>6074.4</v>
      </c>
      <c r="G104" s="54">
        <v>6033.06</v>
      </c>
      <c r="H104" s="54">
        <v>354.96</v>
      </c>
      <c r="I104" t="s">
        <v>2877</v>
      </c>
      <c r="J104" s="31">
        <v>6074.4</v>
      </c>
      <c r="K104" s="36" t="s">
        <v>5844</v>
      </c>
      <c r="L104" t="s">
        <v>2502</v>
      </c>
      <c r="M104" t="s">
        <v>1777</v>
      </c>
      <c r="N104" t="s">
        <v>1345</v>
      </c>
      <c r="O104" t="s">
        <v>67</v>
      </c>
      <c r="Q104" s="23">
        <v>46234.061213113426</v>
      </c>
      <c r="R104" s="32">
        <f>IF(OR(tbl_de_massas[[#This Row],[dia_vencimento]]="", tbl_de_massas[[#This Row],[dia_vencimento]]="--"), "", WORKDAY(tbl_de_massas[[#This Row],[dia_vencimento]], 5))</f>
        <v>32</v>
      </c>
    </row>
    <row r="105" spans="1:18" x14ac:dyDescent="0.25">
      <c r="A105" t="s">
        <v>2136</v>
      </c>
      <c r="B105" t="s">
        <v>1596</v>
      </c>
      <c r="C105" s="32" t="s">
        <v>608</v>
      </c>
      <c r="D105" t="s">
        <v>1597</v>
      </c>
      <c r="E105" s="54">
        <v>2477.81</v>
      </c>
      <c r="F105" s="54">
        <v>1049.2</v>
      </c>
      <c r="G105" s="54">
        <v>5351.3</v>
      </c>
      <c r="H105" s="54">
        <v>0</v>
      </c>
      <c r="I105" t="s">
        <v>2877</v>
      </c>
      <c r="J105" s="31">
        <v>1049.2</v>
      </c>
      <c r="K105" s="36" t="s">
        <v>5836</v>
      </c>
      <c r="L105" t="s">
        <v>2502</v>
      </c>
      <c r="M105" t="s">
        <v>1598</v>
      </c>
      <c r="N105" t="s">
        <v>1341</v>
      </c>
      <c r="O105" t="s">
        <v>67</v>
      </c>
      <c r="Q105" s="23">
        <v>46234.061284085648</v>
      </c>
      <c r="R105" s="32">
        <f>IF(OR(tbl_de_massas[[#This Row],[dia_vencimento]]="", tbl_de_massas[[#This Row],[dia_vencimento]]="--"), "", WORKDAY(tbl_de_massas[[#This Row],[dia_vencimento]], 5))</f>
        <v>27</v>
      </c>
    </row>
    <row r="106" spans="1:18" x14ac:dyDescent="0.25">
      <c r="A106" t="s">
        <v>2137</v>
      </c>
      <c r="B106" t="s">
        <v>2070</v>
      </c>
      <c r="C106" s="32" t="s">
        <v>608</v>
      </c>
      <c r="D106" t="s">
        <v>2071</v>
      </c>
      <c r="E106" s="54">
        <v>12340.51</v>
      </c>
      <c r="F106" s="54">
        <v>6333.87</v>
      </c>
      <c r="G106" s="54">
        <v>10426.120000000001</v>
      </c>
      <c r="H106" s="54">
        <v>0</v>
      </c>
      <c r="I106" t="s">
        <v>2877</v>
      </c>
      <c r="J106" s="31">
        <v>6333.87</v>
      </c>
      <c r="K106" s="36" t="s">
        <v>5844</v>
      </c>
      <c r="L106" t="s">
        <v>2502</v>
      </c>
      <c r="M106" t="s">
        <v>2072</v>
      </c>
      <c r="N106" t="s">
        <v>1341</v>
      </c>
      <c r="O106" t="s">
        <v>67</v>
      </c>
      <c r="Q106" s="23">
        <v>46234.061412268522</v>
      </c>
      <c r="R106" s="32">
        <f>IF(OR(tbl_de_massas[[#This Row],[dia_vencimento]]="", tbl_de_massas[[#This Row],[dia_vencimento]]="--"), "", WORKDAY(tbl_de_massas[[#This Row],[dia_vencimento]], 5))</f>
        <v>27</v>
      </c>
    </row>
    <row r="107" spans="1:18" x14ac:dyDescent="0.25">
      <c r="A107" t="s">
        <v>2138</v>
      </c>
      <c r="B107" t="s">
        <v>1427</v>
      </c>
      <c r="C107" s="32" t="s">
        <v>605</v>
      </c>
      <c r="D107" t="s">
        <v>1428</v>
      </c>
      <c r="E107" s="54">
        <v>2000</v>
      </c>
      <c r="F107" s="54">
        <v>1055.05</v>
      </c>
      <c r="G107" s="54">
        <v>3944.95</v>
      </c>
      <c r="H107" s="54">
        <v>0</v>
      </c>
      <c r="I107" t="s">
        <v>2876</v>
      </c>
      <c r="J107" s="31">
        <v>0</v>
      </c>
      <c r="K107" s="36" t="s">
        <v>1306</v>
      </c>
      <c r="L107" t="s">
        <v>2504</v>
      </c>
      <c r="M107" t="s">
        <v>1429</v>
      </c>
      <c r="N107" t="s">
        <v>1430</v>
      </c>
      <c r="O107" t="s">
        <v>67</v>
      </c>
      <c r="Q107" s="23">
        <v>46235.050194502313</v>
      </c>
      <c r="R107" s="32">
        <f>IF(OR(tbl_de_massas[[#This Row],[dia_vencimento]]="", tbl_de_massas[[#This Row],[dia_vencimento]]="--"), "", WORKDAY(tbl_de_massas[[#This Row],[dia_vencimento]], 5))</f>
        <v>17</v>
      </c>
    </row>
    <row r="108" spans="1:18" x14ac:dyDescent="0.25">
      <c r="A108" t="s">
        <v>2139</v>
      </c>
      <c r="B108" t="s">
        <v>1920</v>
      </c>
      <c r="C108" s="32" t="s">
        <v>605</v>
      </c>
      <c r="D108" t="s">
        <v>1921</v>
      </c>
      <c r="E108" s="54">
        <v>2000</v>
      </c>
      <c r="F108" s="54">
        <v>1055.05</v>
      </c>
      <c r="G108" s="54">
        <v>3944.95</v>
      </c>
      <c r="H108" s="54">
        <v>0</v>
      </c>
      <c r="I108" t="s">
        <v>2876</v>
      </c>
      <c r="J108" s="31">
        <v>0</v>
      </c>
      <c r="K108" s="36" t="s">
        <v>1306</v>
      </c>
      <c r="L108" t="s">
        <v>2504</v>
      </c>
      <c r="M108" t="s">
        <v>1922</v>
      </c>
      <c r="N108" t="s">
        <v>1923</v>
      </c>
      <c r="O108" t="s">
        <v>67</v>
      </c>
      <c r="Q108" s="23">
        <v>46235.05055547454</v>
      </c>
      <c r="R108" s="32">
        <f>IF(OR(tbl_de_massas[[#This Row],[dia_vencimento]]="", tbl_de_massas[[#This Row],[dia_vencimento]]="--"), "", WORKDAY(tbl_de_massas[[#This Row],[dia_vencimento]], 5))</f>
        <v>17</v>
      </c>
    </row>
    <row r="109" spans="1:18" x14ac:dyDescent="0.25">
      <c r="A109" t="s">
        <v>2140</v>
      </c>
      <c r="B109" t="s">
        <v>1320</v>
      </c>
      <c r="C109" s="32" t="s">
        <v>605</v>
      </c>
      <c r="D109" t="s">
        <v>1321</v>
      </c>
      <c r="E109" s="54">
        <v>2000</v>
      </c>
      <c r="F109" s="54">
        <v>1055.05</v>
      </c>
      <c r="G109" s="54">
        <v>3944.95</v>
      </c>
      <c r="H109" s="54">
        <v>0</v>
      </c>
      <c r="I109" t="s">
        <v>2876</v>
      </c>
      <c r="J109" s="31">
        <v>0</v>
      </c>
      <c r="K109" s="36" t="s">
        <v>1306</v>
      </c>
      <c r="L109" t="s">
        <v>2504</v>
      </c>
      <c r="M109" t="s">
        <v>1322</v>
      </c>
      <c r="N109" t="s">
        <v>1323</v>
      </c>
      <c r="O109" t="s">
        <v>67</v>
      </c>
      <c r="Q109" s="23">
        <v>46235.099009027777</v>
      </c>
      <c r="R109" s="32">
        <f>IF(OR(tbl_de_massas[[#This Row],[dia_vencimento]]="", tbl_de_massas[[#This Row],[dia_vencimento]]="--"), "", WORKDAY(tbl_de_massas[[#This Row],[dia_vencimento]], 5))</f>
        <v>17</v>
      </c>
    </row>
    <row r="110" spans="1:18" x14ac:dyDescent="0.25">
      <c r="A110" t="s">
        <v>2141</v>
      </c>
      <c r="B110" t="s">
        <v>1389</v>
      </c>
      <c r="C110" s="32" t="s">
        <v>611</v>
      </c>
      <c r="D110" t="s">
        <v>1390</v>
      </c>
      <c r="E110" s="54">
        <v>639.69000000000005</v>
      </c>
      <c r="F110" s="54">
        <v>634.73</v>
      </c>
      <c r="G110" s="54">
        <v>7034.58</v>
      </c>
      <c r="H110" s="54">
        <v>562.03</v>
      </c>
      <c r="I110" t="s">
        <v>2877</v>
      </c>
      <c r="J110" s="31">
        <v>634.73</v>
      </c>
      <c r="K110" s="36" t="s">
        <v>5829</v>
      </c>
      <c r="L110" t="s">
        <v>2502</v>
      </c>
      <c r="M110" t="s">
        <v>1391</v>
      </c>
      <c r="N110" t="s">
        <v>1341</v>
      </c>
      <c r="O110" t="s">
        <v>67</v>
      </c>
      <c r="Q110" s="23">
        <v>46235.110217638889</v>
      </c>
      <c r="R110" s="32">
        <f>IF(OR(tbl_de_massas[[#This Row],[dia_vencimento]]="", tbl_de_massas[[#This Row],[dia_vencimento]]="--"), "", WORKDAY(tbl_de_massas[[#This Row],[dia_vencimento]], 5))</f>
        <v>32</v>
      </c>
    </row>
    <row r="111" spans="1:18" x14ac:dyDescent="0.25">
      <c r="A111" t="s">
        <v>2142</v>
      </c>
      <c r="B111" t="s">
        <v>2126</v>
      </c>
      <c r="C111" s="32" t="s">
        <v>611</v>
      </c>
      <c r="D111" t="s">
        <v>2127</v>
      </c>
      <c r="E111" s="54">
        <v>9347.1200000000008</v>
      </c>
      <c r="F111" s="54">
        <v>560.16999999999996</v>
      </c>
      <c r="G111" s="54">
        <v>6830.72</v>
      </c>
      <c r="H111" s="54">
        <v>496.07</v>
      </c>
      <c r="I111" t="s">
        <v>2877</v>
      </c>
      <c r="J111" s="31">
        <v>560.16999999999996</v>
      </c>
      <c r="K111" s="36" t="s">
        <v>5829</v>
      </c>
      <c r="L111" t="s">
        <v>2502</v>
      </c>
      <c r="M111" t="s">
        <v>2128</v>
      </c>
      <c r="N111" t="s">
        <v>1341</v>
      </c>
      <c r="O111" t="s">
        <v>67</v>
      </c>
      <c r="Q111" s="23">
        <v>46235.110344675923</v>
      </c>
      <c r="R111" s="32">
        <f>IF(OR(tbl_de_massas[[#This Row],[dia_vencimento]]="", tbl_de_massas[[#This Row],[dia_vencimento]]="--"), "", WORKDAY(tbl_de_massas[[#This Row],[dia_vencimento]], 5))</f>
        <v>32</v>
      </c>
    </row>
    <row r="112" spans="1:18" x14ac:dyDescent="0.25">
      <c r="A112" t="s">
        <v>2143</v>
      </c>
      <c r="B112" t="s">
        <v>1634</v>
      </c>
      <c r="C112" s="32" t="s">
        <v>607</v>
      </c>
      <c r="D112" t="s">
        <v>1635</v>
      </c>
      <c r="E112" s="54">
        <v>1001.85</v>
      </c>
      <c r="F112" s="54">
        <v>5616.02</v>
      </c>
      <c r="G112" s="54">
        <v>3382.39</v>
      </c>
      <c r="H112" s="54">
        <v>0</v>
      </c>
      <c r="I112" t="s">
        <v>2877</v>
      </c>
      <c r="J112" s="31">
        <v>5616.02</v>
      </c>
      <c r="K112" s="36" t="s">
        <v>2919</v>
      </c>
      <c r="L112" t="s">
        <v>2502</v>
      </c>
      <c r="M112" t="s">
        <v>1636</v>
      </c>
      <c r="N112" t="s">
        <v>1341</v>
      </c>
      <c r="O112" t="s">
        <v>67</v>
      </c>
      <c r="Q112" s="23">
        <v>46235.110576238425</v>
      </c>
      <c r="R112" s="32">
        <f>IF(OR(tbl_de_massas[[#This Row],[dia_vencimento]]="", tbl_de_massas[[#This Row],[dia_vencimento]]="--"), "", WORKDAY(tbl_de_massas[[#This Row],[dia_vencimento]], 5))</f>
        <v>20</v>
      </c>
    </row>
    <row r="113" spans="1:18" x14ac:dyDescent="0.25">
      <c r="A113" t="s">
        <v>2144</v>
      </c>
      <c r="B113" t="s">
        <v>1652</v>
      </c>
      <c r="C113" s="32" t="s">
        <v>611</v>
      </c>
      <c r="D113" t="s">
        <v>1650</v>
      </c>
      <c r="E113" s="54">
        <v>762.35</v>
      </c>
      <c r="F113" s="54">
        <v>1448.36</v>
      </c>
      <c r="G113" s="54">
        <v>2954.6</v>
      </c>
      <c r="H113" s="54">
        <v>0</v>
      </c>
      <c r="I113" t="s">
        <v>2876</v>
      </c>
      <c r="J113" s="31">
        <v>1448.36</v>
      </c>
      <c r="K113" s="36" t="s">
        <v>1306</v>
      </c>
      <c r="L113" t="s">
        <v>2504</v>
      </c>
      <c r="M113" t="s">
        <v>1653</v>
      </c>
      <c r="N113" t="s">
        <v>1341</v>
      </c>
      <c r="O113" t="s">
        <v>67</v>
      </c>
      <c r="Q113" s="23">
        <v>46235.110649768518</v>
      </c>
      <c r="R113" s="32">
        <f>IF(OR(tbl_de_massas[[#This Row],[dia_vencimento]]="", tbl_de_massas[[#This Row],[dia_vencimento]]="--"), "", WORKDAY(tbl_de_massas[[#This Row],[dia_vencimento]], 5))</f>
        <v>32</v>
      </c>
    </row>
    <row r="114" spans="1:18" x14ac:dyDescent="0.25">
      <c r="A114" t="s">
        <v>2145</v>
      </c>
      <c r="B114" t="s">
        <v>1654</v>
      </c>
      <c r="C114" s="32" t="s">
        <v>608</v>
      </c>
      <c r="D114" t="s">
        <v>1655</v>
      </c>
      <c r="E114" s="54">
        <v>11798.26</v>
      </c>
      <c r="F114" s="54">
        <v>488.8</v>
      </c>
      <c r="G114" s="54">
        <v>18056.57</v>
      </c>
      <c r="H114" s="54">
        <v>0</v>
      </c>
      <c r="I114" t="s">
        <v>2877</v>
      </c>
      <c r="J114" s="31">
        <v>488.8</v>
      </c>
      <c r="K114" s="36" t="s">
        <v>5836</v>
      </c>
      <c r="L114" t="s">
        <v>2502</v>
      </c>
      <c r="M114" t="s">
        <v>1656</v>
      </c>
      <c r="N114" t="s">
        <v>1341</v>
      </c>
      <c r="O114" t="s">
        <v>67</v>
      </c>
      <c r="Q114" s="23">
        <v>46235.110796782406</v>
      </c>
      <c r="R114" s="32">
        <f>IF(OR(tbl_de_massas[[#This Row],[dia_vencimento]]="", tbl_de_massas[[#This Row],[dia_vencimento]]="--"), "", WORKDAY(tbl_de_massas[[#This Row],[dia_vencimento]], 5))</f>
        <v>27</v>
      </c>
    </row>
    <row r="115" spans="1:18" x14ac:dyDescent="0.25">
      <c r="A115" t="s">
        <v>2146</v>
      </c>
      <c r="B115" t="s">
        <v>1913</v>
      </c>
      <c r="C115" s="32" t="s">
        <v>607</v>
      </c>
      <c r="D115" t="s">
        <v>1911</v>
      </c>
      <c r="E115" s="54">
        <v>684.62</v>
      </c>
      <c r="F115" s="54">
        <v>5938.14</v>
      </c>
      <c r="G115" s="54">
        <v>9976.0499999999993</v>
      </c>
      <c r="H115" s="54">
        <v>619.54999999999995</v>
      </c>
      <c r="I115" t="s">
        <v>2877</v>
      </c>
      <c r="J115" s="31">
        <v>5938.14</v>
      </c>
      <c r="K115" s="36" t="s">
        <v>5845</v>
      </c>
      <c r="L115" t="s">
        <v>2502</v>
      </c>
      <c r="M115" t="s">
        <v>1914</v>
      </c>
      <c r="N115" t="s">
        <v>1341</v>
      </c>
      <c r="O115" t="s">
        <v>67</v>
      </c>
      <c r="Q115" s="23">
        <v>46237.856307164351</v>
      </c>
      <c r="R115" s="32">
        <f>IF(OR(tbl_de_massas[[#This Row],[dia_vencimento]]="", tbl_de_massas[[#This Row],[dia_vencimento]]="--"), "", WORKDAY(tbl_de_massas[[#This Row],[dia_vencimento]], 5))</f>
        <v>20</v>
      </c>
    </row>
    <row r="116" spans="1:18" x14ac:dyDescent="0.25">
      <c r="A116" t="s">
        <v>2147</v>
      </c>
      <c r="B116" t="s">
        <v>2068</v>
      </c>
      <c r="C116" s="32" t="s">
        <v>608</v>
      </c>
      <c r="D116" t="s">
        <v>2066</v>
      </c>
      <c r="E116" s="54">
        <v>14592.18</v>
      </c>
      <c r="F116" s="54">
        <v>1485.14</v>
      </c>
      <c r="G116" s="54">
        <v>16770.580000000002</v>
      </c>
      <c r="H116" s="54">
        <v>732.15</v>
      </c>
      <c r="I116" t="s">
        <v>2877</v>
      </c>
      <c r="J116" s="31">
        <v>1425.34</v>
      </c>
      <c r="K116" s="36" t="s">
        <v>1306</v>
      </c>
      <c r="L116" t="s">
        <v>2504</v>
      </c>
      <c r="M116" t="s">
        <v>2069</v>
      </c>
      <c r="N116" t="s">
        <v>1341</v>
      </c>
      <c r="O116" t="s">
        <v>67</v>
      </c>
      <c r="Q116" s="23">
        <v>46237.856593946759</v>
      </c>
      <c r="R116" s="32">
        <f>IF(OR(tbl_de_massas[[#This Row],[dia_vencimento]]="", tbl_de_massas[[#This Row],[dia_vencimento]]="--"), "", WORKDAY(tbl_de_massas[[#This Row],[dia_vencimento]], 5))</f>
        <v>27</v>
      </c>
    </row>
    <row r="117" spans="1:18" x14ac:dyDescent="0.25">
      <c r="A117" t="s">
        <v>2148</v>
      </c>
      <c r="B117" t="s">
        <v>1828</v>
      </c>
      <c r="C117" s="32" t="s">
        <v>611</v>
      </c>
      <c r="D117" t="s">
        <v>1829</v>
      </c>
      <c r="E117" s="54">
        <v>9296.61</v>
      </c>
      <c r="F117" s="54">
        <v>0</v>
      </c>
      <c r="G117" s="54">
        <v>16604.02</v>
      </c>
      <c r="H117" s="54">
        <v>0</v>
      </c>
      <c r="I117" t="s">
        <v>2881</v>
      </c>
      <c r="J117" s="31">
        <v>756.7</v>
      </c>
      <c r="K117" s="36" t="s">
        <v>1306</v>
      </c>
      <c r="L117" t="s">
        <v>2504</v>
      </c>
      <c r="M117" t="s">
        <v>1830</v>
      </c>
      <c r="N117" t="s">
        <v>1341</v>
      </c>
      <c r="O117" t="s">
        <v>67</v>
      </c>
      <c r="Q117" s="23">
        <v>46237.856802858798</v>
      </c>
      <c r="R117" s="32">
        <f>IF(OR(tbl_de_massas[[#This Row],[dia_vencimento]]="", tbl_de_massas[[#This Row],[dia_vencimento]]="--"), "", WORKDAY(tbl_de_massas[[#This Row],[dia_vencimento]], 5))</f>
        <v>32</v>
      </c>
    </row>
    <row r="118" spans="1:18" x14ac:dyDescent="0.25">
      <c r="A118" t="s">
        <v>2149</v>
      </c>
      <c r="B118" t="s">
        <v>1681</v>
      </c>
      <c r="C118" s="32" t="s">
        <v>5827</v>
      </c>
      <c r="D118" t="s">
        <v>1682</v>
      </c>
      <c r="E118" s="54">
        <v>8217.57</v>
      </c>
      <c r="F118" s="54">
        <v>5678.54</v>
      </c>
      <c r="G118" s="54">
        <v>9328.42</v>
      </c>
      <c r="H118" s="54">
        <v>359.95</v>
      </c>
      <c r="I118" t="s">
        <v>2877</v>
      </c>
      <c r="J118" s="31">
        <v>5678.54</v>
      </c>
      <c r="K118" s="36" t="s">
        <v>5845</v>
      </c>
      <c r="L118" t="s">
        <v>2502</v>
      </c>
      <c r="M118" t="s">
        <v>1683</v>
      </c>
      <c r="N118" t="s">
        <v>1341</v>
      </c>
      <c r="O118" t="s">
        <v>67</v>
      </c>
      <c r="Q118" s="23">
        <v>46237.857035266206</v>
      </c>
      <c r="R118" s="32">
        <f>IF(OR(tbl_de_massas[[#This Row],[dia_vencimento]]="", tbl_de_massas[[#This Row],[dia_vencimento]]="--"), "", WORKDAY(tbl_de_massas[[#This Row],[dia_vencimento]], 5))</f>
        <v>12</v>
      </c>
    </row>
    <row r="119" spans="1:18" x14ac:dyDescent="0.25">
      <c r="A119" t="s">
        <v>2150</v>
      </c>
      <c r="B119" t="s">
        <v>1338</v>
      </c>
      <c r="C119" s="32" t="s">
        <v>5827</v>
      </c>
      <c r="D119" t="s">
        <v>1339</v>
      </c>
      <c r="E119" s="54">
        <v>8430.9699999999993</v>
      </c>
      <c r="F119" s="54">
        <v>5906.91</v>
      </c>
      <c r="G119" s="54">
        <v>9691.82</v>
      </c>
      <c r="H119" s="54">
        <v>588.96</v>
      </c>
      <c r="I119" t="s">
        <v>2877</v>
      </c>
      <c r="J119" s="31">
        <v>5906.91</v>
      </c>
      <c r="K119" s="36" t="s">
        <v>2920</v>
      </c>
      <c r="L119" t="s">
        <v>2502</v>
      </c>
      <c r="M119" t="s">
        <v>1340</v>
      </c>
      <c r="N119" t="s">
        <v>1341</v>
      </c>
      <c r="O119" t="s">
        <v>67</v>
      </c>
      <c r="Q119" s="23">
        <v>46238.635651157405</v>
      </c>
      <c r="R119" s="32">
        <f>IF(OR(tbl_de_massas[[#This Row],[dia_vencimento]]="", tbl_de_massas[[#This Row],[dia_vencimento]]="--"), "", WORKDAY(tbl_de_massas[[#This Row],[dia_vencimento]], 5))</f>
        <v>12</v>
      </c>
    </row>
    <row r="120" spans="1:18" x14ac:dyDescent="0.25">
      <c r="A120" t="s">
        <v>2151</v>
      </c>
      <c r="B120" t="s">
        <v>2107</v>
      </c>
      <c r="C120" s="32" t="s">
        <v>605</v>
      </c>
      <c r="D120" t="s">
        <v>2108</v>
      </c>
      <c r="E120" s="54">
        <v>10406.83</v>
      </c>
      <c r="F120" s="54">
        <v>0</v>
      </c>
      <c r="G120" s="54">
        <v>7608.38</v>
      </c>
      <c r="H120" s="54">
        <v>0</v>
      </c>
      <c r="I120" t="s">
        <v>2876</v>
      </c>
      <c r="J120" s="31">
        <v>0</v>
      </c>
      <c r="K120" s="36" t="s">
        <v>1306</v>
      </c>
      <c r="L120" t="s">
        <v>2504</v>
      </c>
      <c r="M120" t="s">
        <v>2109</v>
      </c>
      <c r="N120" t="s">
        <v>1341</v>
      </c>
      <c r="O120" t="s">
        <v>67</v>
      </c>
      <c r="Q120" s="23">
        <v>46238.635910590281</v>
      </c>
      <c r="R120" s="32">
        <f>IF(OR(tbl_de_massas[[#This Row],[dia_vencimento]]="", tbl_de_massas[[#This Row],[dia_vencimento]]="--"), "", WORKDAY(tbl_de_massas[[#This Row],[dia_vencimento]], 5))</f>
        <v>17</v>
      </c>
    </row>
    <row r="121" spans="1:18" x14ac:dyDescent="0.25">
      <c r="A121" t="s">
        <v>2152</v>
      </c>
      <c r="B121" t="s">
        <v>2115</v>
      </c>
      <c r="C121" s="32" t="s">
        <v>605</v>
      </c>
      <c r="D121" t="s">
        <v>2116</v>
      </c>
      <c r="E121" s="54">
        <v>14183.32</v>
      </c>
      <c r="F121" s="54">
        <v>6027.37</v>
      </c>
      <c r="G121" s="54">
        <v>13269.46</v>
      </c>
      <c r="H121" s="54">
        <v>709.42</v>
      </c>
      <c r="I121" t="s">
        <v>2877</v>
      </c>
      <c r="J121" s="31">
        <v>6027.37</v>
      </c>
      <c r="K121" s="36" t="s">
        <v>2920</v>
      </c>
      <c r="L121" t="s">
        <v>2502</v>
      </c>
      <c r="M121" t="s">
        <v>2117</v>
      </c>
      <c r="N121" t="s">
        <v>1341</v>
      </c>
      <c r="O121" t="s">
        <v>67</v>
      </c>
      <c r="Q121" s="23">
        <v>46238.819167268521</v>
      </c>
      <c r="R121" s="32">
        <f>IF(OR(tbl_de_massas[[#This Row],[dia_vencimento]]="", tbl_de_massas[[#This Row],[dia_vencimento]]="--"), "", WORKDAY(tbl_de_massas[[#This Row],[dia_vencimento]], 5))</f>
        <v>17</v>
      </c>
    </row>
    <row r="122" spans="1:18" x14ac:dyDescent="0.25">
      <c r="A122" t="s">
        <v>2153</v>
      </c>
      <c r="B122" t="s">
        <v>1412</v>
      </c>
      <c r="C122" s="32" t="s">
        <v>5827</v>
      </c>
      <c r="D122" t="s">
        <v>1413</v>
      </c>
      <c r="E122" s="54">
        <v>11765.4</v>
      </c>
      <c r="F122" s="54">
        <v>836.15</v>
      </c>
      <c r="G122" s="54">
        <v>7254.43</v>
      </c>
      <c r="H122" s="54">
        <v>766.9</v>
      </c>
      <c r="I122" t="s">
        <v>2877</v>
      </c>
      <c r="J122" s="31">
        <v>836.15</v>
      </c>
      <c r="K122" s="36" t="s">
        <v>2360</v>
      </c>
      <c r="L122" t="s">
        <v>2502</v>
      </c>
      <c r="M122" t="s">
        <v>1414</v>
      </c>
      <c r="N122" t="s">
        <v>1345</v>
      </c>
      <c r="O122" t="s">
        <v>67</v>
      </c>
      <c r="Q122" s="23">
        <v>46239.950234618052</v>
      </c>
      <c r="R122" s="32">
        <f>IF(OR(tbl_de_massas[[#This Row],[dia_vencimento]]="", tbl_de_massas[[#This Row],[dia_vencimento]]="--"), "", WORKDAY(tbl_de_massas[[#This Row],[dia_vencimento]], 5))</f>
        <v>12</v>
      </c>
    </row>
    <row r="123" spans="1:18" x14ac:dyDescent="0.25">
      <c r="A123" t="s">
        <v>2154</v>
      </c>
      <c r="B123" t="s">
        <v>1720</v>
      </c>
      <c r="C123" s="32" t="s">
        <v>607</v>
      </c>
      <c r="D123" t="s">
        <v>1721</v>
      </c>
      <c r="E123" s="54">
        <v>96.64</v>
      </c>
      <c r="F123" s="54">
        <v>1317.96</v>
      </c>
      <c r="G123" s="54">
        <v>1772.72</v>
      </c>
      <c r="H123" s="54">
        <v>0</v>
      </c>
      <c r="I123" t="s">
        <v>2876</v>
      </c>
      <c r="J123" s="31">
        <v>1317.96</v>
      </c>
      <c r="K123" s="36" t="s">
        <v>1306</v>
      </c>
      <c r="L123" t="s">
        <v>2504</v>
      </c>
      <c r="M123" t="s">
        <v>1722</v>
      </c>
      <c r="N123" t="s">
        <v>1341</v>
      </c>
      <c r="O123" t="s">
        <v>67</v>
      </c>
      <c r="Q123" s="23">
        <v>46239.951312395831</v>
      </c>
      <c r="R123" s="32">
        <f>IF(OR(tbl_de_massas[[#This Row],[dia_vencimento]]="", tbl_de_massas[[#This Row],[dia_vencimento]]="--"), "", WORKDAY(tbl_de_massas[[#This Row],[dia_vencimento]], 5))</f>
        <v>20</v>
      </c>
    </row>
    <row r="124" spans="1:18" x14ac:dyDescent="0.25">
      <c r="A124" t="s">
        <v>2155</v>
      </c>
      <c r="B124" t="s">
        <v>2118</v>
      </c>
      <c r="C124" s="32" t="s">
        <v>605</v>
      </c>
      <c r="D124" t="s">
        <v>2119</v>
      </c>
      <c r="E124" s="54">
        <v>12216.95</v>
      </c>
      <c r="F124" s="54">
        <v>1028.5999999999999</v>
      </c>
      <c r="G124" s="54">
        <v>7893.19</v>
      </c>
      <c r="H124" s="54">
        <v>967.97</v>
      </c>
      <c r="I124" t="s">
        <v>2877</v>
      </c>
      <c r="J124" s="31">
        <v>1028.5999999999999</v>
      </c>
      <c r="K124" s="36" t="s">
        <v>5830</v>
      </c>
      <c r="L124" t="s">
        <v>2502</v>
      </c>
      <c r="M124" t="s">
        <v>2120</v>
      </c>
      <c r="N124" t="s">
        <v>1345</v>
      </c>
      <c r="O124" t="s">
        <v>67</v>
      </c>
      <c r="Q124" s="23">
        <v>46242.955038877313</v>
      </c>
      <c r="R124" s="32">
        <f>IF(OR(tbl_de_massas[[#This Row],[dia_vencimento]]="", tbl_de_massas[[#This Row],[dia_vencimento]]="--"), "", WORKDAY(tbl_de_massas[[#This Row],[dia_vencimento]], 5))</f>
        <v>17</v>
      </c>
    </row>
    <row r="125" spans="1:18" x14ac:dyDescent="0.25">
      <c r="A125" t="s">
        <v>2156</v>
      </c>
      <c r="B125" t="s">
        <v>2058</v>
      </c>
      <c r="C125" s="32" t="s">
        <v>607</v>
      </c>
      <c r="D125" t="s">
        <v>2059</v>
      </c>
      <c r="E125" s="54">
        <v>977.93</v>
      </c>
      <c r="F125" s="54">
        <v>403.92</v>
      </c>
      <c r="G125" s="54">
        <v>3844.74</v>
      </c>
      <c r="H125" s="54">
        <v>390.31</v>
      </c>
      <c r="I125" t="s">
        <v>2877</v>
      </c>
      <c r="J125" s="31">
        <v>403.92</v>
      </c>
      <c r="K125" s="36" t="s">
        <v>5837</v>
      </c>
      <c r="L125" t="s">
        <v>2502</v>
      </c>
      <c r="M125" t="s">
        <v>2060</v>
      </c>
      <c r="N125" t="s">
        <v>1341</v>
      </c>
      <c r="O125" t="s">
        <v>67</v>
      </c>
      <c r="Q125" s="23">
        <v>46242.955227025464</v>
      </c>
      <c r="R125" s="32">
        <f>IF(OR(tbl_de_massas[[#This Row],[dia_vencimento]]="", tbl_de_massas[[#This Row],[dia_vencimento]]="--"), "", WORKDAY(tbl_de_massas[[#This Row],[dia_vencimento]], 5))</f>
        <v>20</v>
      </c>
    </row>
    <row r="126" spans="1:18" x14ac:dyDescent="0.25">
      <c r="A126" t="s">
        <v>2157</v>
      </c>
      <c r="B126" t="s">
        <v>1754</v>
      </c>
      <c r="C126" s="32" t="s">
        <v>605</v>
      </c>
      <c r="D126" t="s">
        <v>1755</v>
      </c>
      <c r="E126" s="54">
        <v>1680.44</v>
      </c>
      <c r="F126" s="54">
        <v>5247.98</v>
      </c>
      <c r="G126" s="54">
        <v>12467.2</v>
      </c>
      <c r="H126" s="54">
        <v>318.94</v>
      </c>
      <c r="I126" t="s">
        <v>2877</v>
      </c>
      <c r="J126" s="31">
        <v>5247.98</v>
      </c>
      <c r="K126" s="36" t="s">
        <v>5846</v>
      </c>
      <c r="L126" t="s">
        <v>2502</v>
      </c>
      <c r="M126" t="s">
        <v>1756</v>
      </c>
      <c r="N126" t="s">
        <v>1341</v>
      </c>
      <c r="O126" t="s">
        <v>67</v>
      </c>
      <c r="Q126" s="23">
        <v>46246.861578564814</v>
      </c>
      <c r="R126" s="32">
        <f>IF(OR(tbl_de_massas[[#This Row],[dia_vencimento]]="", tbl_de_massas[[#This Row],[dia_vencimento]]="--"), "", WORKDAY(tbl_de_massas[[#This Row],[dia_vencimento]], 5))</f>
        <v>17</v>
      </c>
    </row>
    <row r="127" spans="1:18" x14ac:dyDescent="0.25">
      <c r="A127" t="s">
        <v>2158</v>
      </c>
      <c r="B127" t="s">
        <v>2051</v>
      </c>
      <c r="C127" s="32" t="s">
        <v>608</v>
      </c>
      <c r="D127" t="s">
        <v>2052</v>
      </c>
      <c r="E127" s="54">
        <v>8713.15</v>
      </c>
      <c r="F127" s="54">
        <v>0</v>
      </c>
      <c r="G127" s="54">
        <v>15623.91</v>
      </c>
      <c r="H127" s="54">
        <v>0</v>
      </c>
      <c r="I127" t="s">
        <v>2876</v>
      </c>
      <c r="J127" s="31">
        <v>0</v>
      </c>
      <c r="K127" s="36" t="s">
        <v>1306</v>
      </c>
      <c r="L127" t="s">
        <v>2504</v>
      </c>
      <c r="M127" t="s">
        <v>2053</v>
      </c>
      <c r="N127" t="s">
        <v>1341</v>
      </c>
      <c r="O127" t="s">
        <v>67</v>
      </c>
      <c r="Q127" s="23">
        <v>46248.862783680554</v>
      </c>
      <c r="R127" s="32">
        <f>IF(OR(tbl_de_massas[[#This Row],[dia_vencimento]]="", tbl_de_massas[[#This Row],[dia_vencimento]]="--"), "", WORKDAY(tbl_de_massas[[#This Row],[dia_vencimento]], 5))</f>
        <v>27</v>
      </c>
    </row>
    <row r="128" spans="1:18" x14ac:dyDescent="0.25">
      <c r="A128" t="s">
        <v>2159</v>
      </c>
      <c r="B128" t="s">
        <v>1346</v>
      </c>
      <c r="C128" s="32" t="s">
        <v>608</v>
      </c>
      <c r="D128" t="s">
        <v>1343</v>
      </c>
      <c r="E128" s="54">
        <v>9293.26</v>
      </c>
      <c r="F128" s="54">
        <v>5351.15</v>
      </c>
      <c r="G128" s="54">
        <v>9276.5400000000009</v>
      </c>
      <c r="H128" s="54">
        <v>465.05</v>
      </c>
      <c r="I128" t="s">
        <v>2877</v>
      </c>
      <c r="J128" s="31">
        <v>5351.15</v>
      </c>
      <c r="K128" s="36" t="s">
        <v>5847</v>
      </c>
      <c r="L128" t="s">
        <v>2502</v>
      </c>
      <c r="M128" t="s">
        <v>1347</v>
      </c>
      <c r="N128" t="s">
        <v>1341</v>
      </c>
      <c r="O128" t="s">
        <v>67</v>
      </c>
      <c r="Q128" s="23">
        <v>46248.863533020834</v>
      </c>
      <c r="R128" s="32">
        <f>IF(OR(tbl_de_massas[[#This Row],[dia_vencimento]]="", tbl_de_massas[[#This Row],[dia_vencimento]]="--"), "", WORKDAY(tbl_de_massas[[#This Row],[dia_vencimento]], 5))</f>
        <v>27</v>
      </c>
    </row>
    <row r="129" spans="1:18" x14ac:dyDescent="0.25">
      <c r="A129" t="s">
        <v>2160</v>
      </c>
      <c r="B129" t="s">
        <v>1797</v>
      </c>
      <c r="C129" s="32" t="s">
        <v>611</v>
      </c>
      <c r="D129" t="s">
        <v>1798</v>
      </c>
      <c r="E129" s="54">
        <v>2118.5500000000002</v>
      </c>
      <c r="F129" s="54">
        <v>0</v>
      </c>
      <c r="G129" s="54">
        <v>2164.63</v>
      </c>
      <c r="H129" s="54">
        <v>0</v>
      </c>
      <c r="I129" t="s">
        <v>2881</v>
      </c>
      <c r="J129" s="31">
        <v>712.92</v>
      </c>
      <c r="K129" s="36" t="s">
        <v>1306</v>
      </c>
      <c r="L129" t="s">
        <v>2504</v>
      </c>
      <c r="M129" t="s">
        <v>1799</v>
      </c>
      <c r="N129" t="s">
        <v>1341</v>
      </c>
      <c r="O129" t="s">
        <v>67</v>
      </c>
      <c r="Q129" s="23">
        <v>46248.906450787035</v>
      </c>
      <c r="R129" s="32">
        <f>IF(OR(tbl_de_massas[[#This Row],[dia_vencimento]]="", tbl_de_massas[[#This Row],[dia_vencimento]]="--"), "", WORKDAY(tbl_de_massas[[#This Row],[dia_vencimento]], 5))</f>
        <v>32</v>
      </c>
    </row>
    <row r="130" spans="1:18" x14ac:dyDescent="0.25">
      <c r="A130" t="s">
        <v>2161</v>
      </c>
      <c r="B130" t="s">
        <v>1637</v>
      </c>
      <c r="C130" s="32" t="s">
        <v>608</v>
      </c>
      <c r="D130" t="s">
        <v>1638</v>
      </c>
      <c r="E130" s="54">
        <v>8141.07</v>
      </c>
      <c r="F130" s="54">
        <v>1407.29</v>
      </c>
      <c r="G130" s="54">
        <v>6722.16</v>
      </c>
      <c r="H130" s="54">
        <v>692.63</v>
      </c>
      <c r="I130" t="s">
        <v>2877</v>
      </c>
      <c r="J130" s="31">
        <v>1407.29</v>
      </c>
      <c r="K130" s="36" t="s">
        <v>1306</v>
      </c>
      <c r="L130" t="s">
        <v>2504</v>
      </c>
      <c r="M130" t="s">
        <v>1639</v>
      </c>
      <c r="N130" t="s">
        <v>1341</v>
      </c>
      <c r="O130" t="s">
        <v>67</v>
      </c>
      <c r="Q130" s="23">
        <v>46248.906556458336</v>
      </c>
      <c r="R130" s="32">
        <f>IF(OR(tbl_de_massas[[#This Row],[dia_vencimento]]="", tbl_de_massas[[#This Row],[dia_vencimento]]="--"), "", WORKDAY(tbl_de_massas[[#This Row],[dia_vencimento]], 5))</f>
        <v>27</v>
      </c>
    </row>
    <row r="131" spans="1:18" x14ac:dyDescent="0.25">
      <c r="A131" t="s">
        <v>2162</v>
      </c>
      <c r="B131" t="s">
        <v>2039</v>
      </c>
      <c r="C131" s="32" t="s">
        <v>5827</v>
      </c>
      <c r="D131" t="s">
        <v>2040</v>
      </c>
      <c r="E131" s="54">
        <v>12510.46</v>
      </c>
      <c r="F131" s="54">
        <v>5330.21</v>
      </c>
      <c r="G131" s="54">
        <v>1062.49</v>
      </c>
      <c r="H131" s="54">
        <v>444.11</v>
      </c>
      <c r="I131" t="s">
        <v>2877</v>
      </c>
      <c r="J131" s="31">
        <v>5330.21</v>
      </c>
      <c r="K131" s="36" t="s">
        <v>5847</v>
      </c>
      <c r="L131" t="s">
        <v>2502</v>
      </c>
      <c r="M131" t="s">
        <v>2041</v>
      </c>
      <c r="N131" t="s">
        <v>1345</v>
      </c>
      <c r="O131" t="s">
        <v>67</v>
      </c>
      <c r="Q131" s="23">
        <v>46248.906787442131</v>
      </c>
      <c r="R131" s="32">
        <f>IF(OR(tbl_de_massas[[#This Row],[dia_vencimento]]="", tbl_de_massas[[#This Row],[dia_vencimento]]="--"), "", WORKDAY(tbl_de_massas[[#This Row],[dia_vencimento]], 5))</f>
        <v>12</v>
      </c>
    </row>
    <row r="132" spans="1:18" x14ac:dyDescent="0.25">
      <c r="A132" t="s">
        <v>2163</v>
      </c>
      <c r="B132" t="s">
        <v>1976</v>
      </c>
      <c r="C132" s="32" t="s">
        <v>5827</v>
      </c>
      <c r="D132" t="s">
        <v>1977</v>
      </c>
      <c r="E132" s="54">
        <v>2556.0500000000002</v>
      </c>
      <c r="F132" s="54">
        <v>495.32</v>
      </c>
      <c r="G132" s="54">
        <v>7157.93</v>
      </c>
      <c r="H132" s="54">
        <v>454.26</v>
      </c>
      <c r="I132" t="s">
        <v>2877</v>
      </c>
      <c r="J132" s="31">
        <v>495.32</v>
      </c>
      <c r="K132" s="36" t="s">
        <v>2360</v>
      </c>
      <c r="L132" t="s">
        <v>2502</v>
      </c>
      <c r="M132" t="s">
        <v>1978</v>
      </c>
      <c r="N132" t="s">
        <v>1341</v>
      </c>
      <c r="O132" t="s">
        <v>67</v>
      </c>
      <c r="Q132" s="23">
        <v>46250.881448541666</v>
      </c>
      <c r="R132" s="32">
        <f>IF(OR(tbl_de_massas[[#This Row],[dia_vencimento]]="", tbl_de_massas[[#This Row],[dia_vencimento]]="--"), "", WORKDAY(tbl_de_massas[[#This Row],[dia_vencimento]], 5))</f>
        <v>12</v>
      </c>
    </row>
    <row r="133" spans="1:18" x14ac:dyDescent="0.25">
      <c r="A133" t="s">
        <v>2164</v>
      </c>
      <c r="B133" t="s">
        <v>2042</v>
      </c>
      <c r="C133" s="32" t="s">
        <v>611</v>
      </c>
      <c r="D133" t="s">
        <v>2043</v>
      </c>
      <c r="E133" s="54">
        <v>13270.67</v>
      </c>
      <c r="F133" s="54">
        <v>0</v>
      </c>
      <c r="G133" s="54">
        <v>19097.46</v>
      </c>
      <c r="H133" s="54">
        <v>0</v>
      </c>
      <c r="I133" t="s">
        <v>2881</v>
      </c>
      <c r="J133" s="31">
        <v>929.13</v>
      </c>
      <c r="K133" s="36" t="s">
        <v>1306</v>
      </c>
      <c r="L133" t="s">
        <v>2504</v>
      </c>
      <c r="M133" t="s">
        <v>2044</v>
      </c>
      <c r="N133" t="s">
        <v>1341</v>
      </c>
      <c r="O133" t="s">
        <v>67</v>
      </c>
      <c r="Q133" s="23">
        <v>46250.881584907409</v>
      </c>
      <c r="R133" s="32">
        <f>IF(OR(tbl_de_massas[[#This Row],[dia_vencimento]]="", tbl_de_massas[[#This Row],[dia_vencimento]]="--"), "", WORKDAY(tbl_de_massas[[#This Row],[dia_vencimento]], 5))</f>
        <v>32</v>
      </c>
    </row>
    <row r="134" spans="1:18" x14ac:dyDescent="0.25">
      <c r="A134" t="s">
        <v>2165</v>
      </c>
      <c r="B134" t="s">
        <v>1907</v>
      </c>
      <c r="C134" s="32" t="s">
        <v>607</v>
      </c>
      <c r="D134" t="s">
        <v>1908</v>
      </c>
      <c r="E134" s="54">
        <v>7549.73</v>
      </c>
      <c r="F134" s="54">
        <v>591.04999999999995</v>
      </c>
      <c r="G134" s="54">
        <v>18929.18</v>
      </c>
      <c r="H134" s="54">
        <v>571.12</v>
      </c>
      <c r="I134" t="s">
        <v>2877</v>
      </c>
      <c r="J134" s="31">
        <v>591.04999999999995</v>
      </c>
      <c r="K134" s="36" t="s">
        <v>5837</v>
      </c>
      <c r="L134" t="s">
        <v>2502</v>
      </c>
      <c r="M134" t="s">
        <v>1909</v>
      </c>
      <c r="N134" t="s">
        <v>1341</v>
      </c>
      <c r="O134" t="s">
        <v>67</v>
      </c>
      <c r="Q134" s="23">
        <v>46250.881724999999</v>
      </c>
      <c r="R134" s="32">
        <f>IF(OR(tbl_de_massas[[#This Row],[dia_vencimento]]="", tbl_de_massas[[#This Row],[dia_vencimento]]="--"), "", WORKDAY(tbl_de_massas[[#This Row],[dia_vencimento]], 5))</f>
        <v>20</v>
      </c>
    </row>
    <row r="135" spans="1:18" x14ac:dyDescent="0.25">
      <c r="A135" t="s">
        <v>2166</v>
      </c>
      <c r="B135" t="s">
        <v>1770</v>
      </c>
      <c r="C135" s="32" t="s">
        <v>605</v>
      </c>
      <c r="D135" t="s">
        <v>1771</v>
      </c>
      <c r="E135" s="54">
        <v>14278.95</v>
      </c>
      <c r="F135" s="54">
        <v>39.159999999999997</v>
      </c>
      <c r="G135" s="54">
        <v>16663.13</v>
      </c>
      <c r="H135" s="54">
        <v>0</v>
      </c>
      <c r="I135" t="s">
        <v>2876</v>
      </c>
      <c r="J135" s="31">
        <v>39.159999999999997</v>
      </c>
      <c r="K135" s="36" t="s">
        <v>1306</v>
      </c>
      <c r="L135" t="s">
        <v>2504</v>
      </c>
      <c r="M135" t="s">
        <v>1772</v>
      </c>
      <c r="N135" t="s">
        <v>1341</v>
      </c>
      <c r="O135" t="s">
        <v>67</v>
      </c>
      <c r="Q135" s="23">
        <v>46250.88215096065</v>
      </c>
      <c r="R135" s="32">
        <f>IF(OR(tbl_de_massas[[#This Row],[dia_vencimento]]="", tbl_de_massas[[#This Row],[dia_vencimento]]="--"), "", WORKDAY(tbl_de_massas[[#This Row],[dia_vencimento]], 5))</f>
        <v>17</v>
      </c>
    </row>
    <row r="136" spans="1:18" x14ac:dyDescent="0.25">
      <c r="A136" t="s">
        <v>2167</v>
      </c>
      <c r="B136" t="s">
        <v>1732</v>
      </c>
      <c r="C136" s="32" t="s">
        <v>608</v>
      </c>
      <c r="D136" t="s">
        <v>1733</v>
      </c>
      <c r="E136" s="54">
        <v>5972.53</v>
      </c>
      <c r="F136" s="54">
        <v>5394.69</v>
      </c>
      <c r="G136" s="54">
        <v>12087.57</v>
      </c>
      <c r="H136" s="54">
        <v>551.53</v>
      </c>
      <c r="I136" t="s">
        <v>2877</v>
      </c>
      <c r="J136" s="31">
        <v>5394.69</v>
      </c>
      <c r="K136" s="36" t="s">
        <v>5848</v>
      </c>
      <c r="L136" t="s">
        <v>2502</v>
      </c>
      <c r="M136" t="s">
        <v>1734</v>
      </c>
      <c r="N136" t="s">
        <v>1341</v>
      </c>
      <c r="O136" t="s">
        <v>67</v>
      </c>
      <c r="Q136" s="23">
        <v>46250.882265671295</v>
      </c>
      <c r="R136" s="32">
        <f>IF(OR(tbl_de_massas[[#This Row],[dia_vencimento]]="", tbl_de_massas[[#This Row],[dia_vencimento]]="--"), "", WORKDAY(tbl_de_massas[[#This Row],[dia_vencimento]], 5))</f>
        <v>27</v>
      </c>
    </row>
    <row r="137" spans="1:18" x14ac:dyDescent="0.25">
      <c r="A137" t="s">
        <v>2168</v>
      </c>
      <c r="B137" t="s">
        <v>1729</v>
      </c>
      <c r="C137" s="32" t="s">
        <v>611</v>
      </c>
      <c r="D137" t="s">
        <v>1730</v>
      </c>
      <c r="E137" s="54">
        <v>10908.02</v>
      </c>
      <c r="F137" s="54">
        <v>0</v>
      </c>
      <c r="G137" s="54">
        <v>6130.04</v>
      </c>
      <c r="H137" s="54">
        <v>0</v>
      </c>
      <c r="I137" t="s">
        <v>2881</v>
      </c>
      <c r="J137" s="31">
        <v>475.5</v>
      </c>
      <c r="K137" s="36" t="s">
        <v>1306</v>
      </c>
      <c r="L137" t="s">
        <v>2504</v>
      </c>
      <c r="M137" t="s">
        <v>1731</v>
      </c>
      <c r="N137" t="s">
        <v>1341</v>
      </c>
      <c r="O137" t="s">
        <v>67</v>
      </c>
      <c r="Q137" s="23">
        <v>46250.882673796295</v>
      </c>
      <c r="R137" s="32">
        <f>IF(OR(tbl_de_massas[[#This Row],[dia_vencimento]]="", tbl_de_massas[[#This Row],[dia_vencimento]]="--"), "", WORKDAY(tbl_de_massas[[#This Row],[dia_vencimento]], 5))</f>
        <v>32</v>
      </c>
    </row>
    <row r="138" spans="1:18" x14ac:dyDescent="0.25">
      <c r="A138" t="s">
        <v>2169</v>
      </c>
      <c r="B138" t="s">
        <v>1457</v>
      </c>
      <c r="C138" s="32" t="s">
        <v>607</v>
      </c>
      <c r="D138" t="s">
        <v>1458</v>
      </c>
      <c r="E138" s="54">
        <v>1692.16</v>
      </c>
      <c r="F138" s="54">
        <v>5327.69</v>
      </c>
      <c r="G138" s="54">
        <v>-817.92</v>
      </c>
      <c r="H138" s="54">
        <v>484.53</v>
      </c>
      <c r="I138" t="s">
        <v>2877</v>
      </c>
      <c r="J138" s="31">
        <v>5327.69</v>
      </c>
      <c r="K138" s="36" t="s">
        <v>5848</v>
      </c>
      <c r="L138" t="s">
        <v>2502</v>
      </c>
      <c r="M138" t="s">
        <v>1459</v>
      </c>
      <c r="N138" t="s">
        <v>1345</v>
      </c>
      <c r="O138" t="s">
        <v>67</v>
      </c>
      <c r="Q138" s="23">
        <v>46250.882918483796</v>
      </c>
      <c r="R138" s="32">
        <f>IF(OR(tbl_de_massas[[#This Row],[dia_vencimento]]="", tbl_de_massas[[#This Row],[dia_vencimento]]="--"), "", WORKDAY(tbl_de_massas[[#This Row],[dia_vencimento]], 5))</f>
        <v>20</v>
      </c>
    </row>
    <row r="139" spans="1:18" x14ac:dyDescent="0.25">
      <c r="A139" t="s">
        <v>2170</v>
      </c>
      <c r="B139" t="s">
        <v>1558</v>
      </c>
      <c r="C139" s="32" t="s">
        <v>607</v>
      </c>
      <c r="D139" t="s">
        <v>1559</v>
      </c>
      <c r="E139" s="54">
        <v>13274.23</v>
      </c>
      <c r="F139" s="54">
        <v>960.61</v>
      </c>
      <c r="G139" s="54">
        <v>17143.21</v>
      </c>
      <c r="H139" s="54">
        <v>928.22</v>
      </c>
      <c r="I139" t="s">
        <v>2877</v>
      </c>
      <c r="J139" s="31">
        <v>960.61</v>
      </c>
      <c r="K139" s="36" t="s">
        <v>5837</v>
      </c>
      <c r="L139" t="s">
        <v>2502</v>
      </c>
      <c r="M139" t="s">
        <v>1560</v>
      </c>
      <c r="N139" t="s">
        <v>1341</v>
      </c>
      <c r="O139" t="s">
        <v>67</v>
      </c>
      <c r="Q139" s="23">
        <v>46250.883081793982</v>
      </c>
      <c r="R139" s="32">
        <f>IF(OR(tbl_de_massas[[#This Row],[dia_vencimento]]="", tbl_de_massas[[#This Row],[dia_vencimento]]="--"), "", WORKDAY(tbl_de_massas[[#This Row],[dia_vencimento]], 5))</f>
        <v>20</v>
      </c>
    </row>
    <row r="140" spans="1:18" x14ac:dyDescent="0.25">
      <c r="A140" t="s">
        <v>2171</v>
      </c>
      <c r="B140" t="s">
        <v>1746</v>
      </c>
      <c r="C140" s="32" t="s">
        <v>5827</v>
      </c>
      <c r="D140" t="s">
        <v>1747</v>
      </c>
      <c r="E140" s="54">
        <v>12333.89</v>
      </c>
      <c r="F140" s="54">
        <v>808</v>
      </c>
      <c r="G140" s="54">
        <v>1341.68</v>
      </c>
      <c r="H140" s="54">
        <v>741.04</v>
      </c>
      <c r="I140" t="s">
        <v>2877</v>
      </c>
      <c r="J140" s="31">
        <v>808</v>
      </c>
      <c r="K140" s="36" t="s">
        <v>2360</v>
      </c>
      <c r="L140" t="s">
        <v>2502</v>
      </c>
      <c r="M140" t="s">
        <v>1748</v>
      </c>
      <c r="N140" t="s">
        <v>1345</v>
      </c>
      <c r="O140" t="s">
        <v>67</v>
      </c>
      <c r="Q140" s="23">
        <v>46250.883168171298</v>
      </c>
      <c r="R140" s="32">
        <f>IF(OR(tbl_de_massas[[#This Row],[dia_vencimento]]="", tbl_de_massas[[#This Row],[dia_vencimento]]="--"), "", WORKDAY(tbl_de_massas[[#This Row],[dia_vencimento]], 5))</f>
        <v>12</v>
      </c>
    </row>
    <row r="141" spans="1:18" x14ac:dyDescent="0.25">
      <c r="A141" t="s">
        <v>2172</v>
      </c>
      <c r="B141" t="s">
        <v>2104</v>
      </c>
      <c r="C141" s="32" t="s">
        <v>5827</v>
      </c>
      <c r="D141" t="s">
        <v>2105</v>
      </c>
      <c r="E141" s="54">
        <v>5889.65</v>
      </c>
      <c r="F141" s="54">
        <v>5562.13</v>
      </c>
      <c r="G141" s="54">
        <v>12728.3</v>
      </c>
      <c r="H141" s="54">
        <v>718.97</v>
      </c>
      <c r="I141" t="s">
        <v>2877</v>
      </c>
      <c r="J141" s="31">
        <v>5562.13</v>
      </c>
      <c r="K141" s="36" t="s">
        <v>5848</v>
      </c>
      <c r="L141" t="s">
        <v>2502</v>
      </c>
      <c r="M141" t="s">
        <v>2106</v>
      </c>
      <c r="N141" t="s">
        <v>1341</v>
      </c>
      <c r="O141" t="s">
        <v>67</v>
      </c>
      <c r="Q141" s="23">
        <v>46250.884165960648</v>
      </c>
      <c r="R141" s="32">
        <f>IF(OR(tbl_de_massas[[#This Row],[dia_vencimento]]="", tbl_de_massas[[#This Row],[dia_vencimento]]="--"), "", WORKDAY(tbl_de_massas[[#This Row],[dia_vencimento]], 5))</f>
        <v>12</v>
      </c>
    </row>
    <row r="142" spans="1:18" x14ac:dyDescent="0.25">
      <c r="A142" t="s">
        <v>2173</v>
      </c>
      <c r="B142" t="s">
        <v>1749</v>
      </c>
      <c r="C142" s="32" t="s">
        <v>608</v>
      </c>
      <c r="D142" t="s">
        <v>1750</v>
      </c>
      <c r="E142" s="54">
        <v>3035.55</v>
      </c>
      <c r="F142" s="54">
        <v>5417.92</v>
      </c>
      <c r="G142" s="54">
        <v>3104.71</v>
      </c>
      <c r="H142" s="54">
        <v>574.76</v>
      </c>
      <c r="I142" t="s">
        <v>2877</v>
      </c>
      <c r="J142" s="31">
        <v>5417.92</v>
      </c>
      <c r="K142" s="36" t="s">
        <v>5848</v>
      </c>
      <c r="L142" t="s">
        <v>2502</v>
      </c>
      <c r="M142" t="s">
        <v>1751</v>
      </c>
      <c r="N142" t="s">
        <v>1341</v>
      </c>
      <c r="O142" t="s">
        <v>67</v>
      </c>
      <c r="Q142" s="23">
        <v>46250.897699745372</v>
      </c>
      <c r="R142" s="32">
        <f>IF(OR(tbl_de_massas[[#This Row],[dia_vencimento]]="", tbl_de_massas[[#This Row],[dia_vencimento]]="--"), "", WORKDAY(tbl_de_massas[[#This Row],[dia_vencimento]], 5))</f>
        <v>27</v>
      </c>
    </row>
    <row r="143" spans="1:18" x14ac:dyDescent="0.25">
      <c r="A143" t="s">
        <v>2174</v>
      </c>
      <c r="B143" t="s">
        <v>1792</v>
      </c>
      <c r="C143" s="32" t="s">
        <v>605</v>
      </c>
      <c r="D143" t="s">
        <v>1793</v>
      </c>
      <c r="E143" s="54">
        <v>8577.09</v>
      </c>
      <c r="F143" s="54">
        <v>865.97</v>
      </c>
      <c r="G143" s="54">
        <v>19043.02</v>
      </c>
      <c r="H143" s="54">
        <v>814.93</v>
      </c>
      <c r="I143" t="s">
        <v>2877</v>
      </c>
      <c r="J143" s="31">
        <v>865.97</v>
      </c>
      <c r="K143" s="36" t="s">
        <v>5830</v>
      </c>
      <c r="L143" t="s">
        <v>2502</v>
      </c>
      <c r="M143" t="s">
        <v>1794</v>
      </c>
      <c r="N143" t="s">
        <v>1341</v>
      </c>
      <c r="O143" t="s">
        <v>67</v>
      </c>
      <c r="Q143" s="23">
        <v>46250.898502719909</v>
      </c>
      <c r="R143" s="32">
        <f>IF(OR(tbl_de_massas[[#This Row],[dia_vencimento]]="", tbl_de_massas[[#This Row],[dia_vencimento]]="--"), "", WORKDAY(tbl_de_massas[[#This Row],[dia_vencimento]], 5))</f>
        <v>17</v>
      </c>
    </row>
    <row r="144" spans="1:18" x14ac:dyDescent="0.25">
      <c r="A144" t="s">
        <v>2175</v>
      </c>
      <c r="B144" t="s">
        <v>2121</v>
      </c>
      <c r="C144" s="32" t="s">
        <v>607</v>
      </c>
      <c r="D144" t="s">
        <v>2122</v>
      </c>
      <c r="E144" s="54">
        <v>8752.99</v>
      </c>
      <c r="F144" s="54">
        <v>907.89</v>
      </c>
      <c r="G144" s="54">
        <v>6057.1</v>
      </c>
      <c r="H144" s="54">
        <v>0</v>
      </c>
      <c r="I144" t="s">
        <v>2876</v>
      </c>
      <c r="J144" s="31">
        <v>907.89</v>
      </c>
      <c r="K144" s="36" t="s">
        <v>1306</v>
      </c>
      <c r="L144" t="s">
        <v>2504</v>
      </c>
      <c r="M144" t="s">
        <v>2123</v>
      </c>
      <c r="N144" t="s">
        <v>1341</v>
      </c>
      <c r="O144" t="s">
        <v>67</v>
      </c>
      <c r="Q144" s="23">
        <v>46250.94605489583</v>
      </c>
      <c r="R144" s="32">
        <f>IF(OR(tbl_de_massas[[#This Row],[dia_vencimento]]="", tbl_de_massas[[#This Row],[dia_vencimento]]="--"), "", WORKDAY(tbl_de_massas[[#This Row],[dia_vencimento]], 5))</f>
        <v>20</v>
      </c>
    </row>
    <row r="145" spans="1:18" x14ac:dyDescent="0.25">
      <c r="A145" t="s">
        <v>2176</v>
      </c>
      <c r="B145" t="s">
        <v>1893</v>
      </c>
      <c r="C145" s="32" t="s">
        <v>5827</v>
      </c>
      <c r="D145" t="s">
        <v>1894</v>
      </c>
      <c r="E145" s="54">
        <v>3412.12</v>
      </c>
      <c r="F145" s="54">
        <v>5290.3</v>
      </c>
      <c r="G145" s="54">
        <v>-1383.09</v>
      </c>
      <c r="H145" s="54">
        <v>533.02</v>
      </c>
      <c r="I145" t="s">
        <v>2877</v>
      </c>
      <c r="J145" s="31">
        <v>5290.3</v>
      </c>
      <c r="K145" s="36" t="s">
        <v>5843</v>
      </c>
      <c r="L145" t="s">
        <v>2502</v>
      </c>
      <c r="M145" t="s">
        <v>1895</v>
      </c>
      <c r="N145" t="s">
        <v>1341</v>
      </c>
      <c r="O145" t="s">
        <v>67</v>
      </c>
      <c r="Q145" s="23">
        <v>46254.905631608795</v>
      </c>
      <c r="R145" s="32">
        <f>IF(OR(tbl_de_massas[[#This Row],[dia_vencimento]]="", tbl_de_massas[[#This Row],[dia_vencimento]]="--"), "", WORKDAY(tbl_de_massas[[#This Row],[dia_vencimento]], 5))</f>
        <v>12</v>
      </c>
    </row>
    <row r="146" spans="1:18" x14ac:dyDescent="0.25">
      <c r="A146" t="s">
        <v>2177</v>
      </c>
      <c r="B146" t="s">
        <v>1587</v>
      </c>
      <c r="C146" s="32" t="s">
        <v>5827</v>
      </c>
      <c r="D146" t="s">
        <v>1588</v>
      </c>
      <c r="E146" s="54">
        <v>3690.43</v>
      </c>
      <c r="F146" s="54">
        <v>1085.07</v>
      </c>
      <c r="G146" s="54">
        <v>15178.86</v>
      </c>
      <c r="H146" s="54">
        <v>995.15</v>
      </c>
      <c r="I146" t="s">
        <v>2877</v>
      </c>
      <c r="J146" s="31">
        <v>1085.07</v>
      </c>
      <c r="K146" s="36" t="s">
        <v>2360</v>
      </c>
      <c r="L146" t="s">
        <v>2502</v>
      </c>
      <c r="M146" t="s">
        <v>1589</v>
      </c>
      <c r="N146" t="s">
        <v>1341</v>
      </c>
      <c r="O146" t="s">
        <v>67</v>
      </c>
      <c r="Q146" s="23">
        <v>46254.907106284722</v>
      </c>
      <c r="R146" s="32">
        <f>IF(OR(tbl_de_massas[[#This Row],[dia_vencimento]]="", tbl_de_massas[[#This Row],[dia_vencimento]]="--"), "", WORKDAY(tbl_de_massas[[#This Row],[dia_vencimento]], 5))</f>
        <v>12</v>
      </c>
    </row>
    <row r="147" spans="1:18" x14ac:dyDescent="0.25">
      <c r="A147" t="s">
        <v>2178</v>
      </c>
      <c r="B147" t="s">
        <v>1950</v>
      </c>
      <c r="C147" s="32" t="s">
        <v>5827</v>
      </c>
      <c r="D147" t="s">
        <v>1951</v>
      </c>
      <c r="E147" s="54">
        <v>1291.8900000000001</v>
      </c>
      <c r="F147" s="54">
        <v>5062.8599999999997</v>
      </c>
      <c r="G147" s="54">
        <v>6600.96</v>
      </c>
      <c r="H147" s="54">
        <v>305.58</v>
      </c>
      <c r="I147" t="s">
        <v>2877</v>
      </c>
      <c r="J147" s="31">
        <v>5062.8599999999997</v>
      </c>
      <c r="K147" s="36" t="s">
        <v>5843</v>
      </c>
      <c r="L147" t="s">
        <v>2502</v>
      </c>
      <c r="M147" t="s">
        <v>1952</v>
      </c>
      <c r="N147" t="s">
        <v>1345</v>
      </c>
      <c r="O147" t="s">
        <v>67</v>
      </c>
      <c r="Q147" s="23">
        <v>46254.919112152777</v>
      </c>
      <c r="R147" s="32">
        <f>IF(OR(tbl_de_massas[[#This Row],[dia_vencimento]]="", tbl_de_massas[[#This Row],[dia_vencimento]]="--"), "", WORKDAY(tbl_de_massas[[#This Row],[dia_vencimento]], 5))</f>
        <v>12</v>
      </c>
    </row>
    <row r="148" spans="1:18" x14ac:dyDescent="0.25">
      <c r="A148" t="s">
        <v>2179</v>
      </c>
      <c r="B148" t="s">
        <v>1831</v>
      </c>
      <c r="C148" s="32" t="s">
        <v>611</v>
      </c>
      <c r="D148" t="s">
        <v>1829</v>
      </c>
      <c r="E148" s="54">
        <v>2559.06</v>
      </c>
      <c r="F148" s="54">
        <v>5290.38</v>
      </c>
      <c r="G148" s="54">
        <v>770.29</v>
      </c>
      <c r="H148" s="54">
        <v>3870.86</v>
      </c>
      <c r="I148" t="s">
        <v>2877</v>
      </c>
      <c r="J148" s="31">
        <v>5290.38</v>
      </c>
      <c r="K148" s="36" t="s">
        <v>5843</v>
      </c>
      <c r="L148" t="s">
        <v>2502</v>
      </c>
      <c r="M148" t="s">
        <v>1832</v>
      </c>
      <c r="N148" t="s">
        <v>1345</v>
      </c>
      <c r="O148" t="s">
        <v>67</v>
      </c>
      <c r="Q148" s="23">
        <v>46254.919206250001</v>
      </c>
      <c r="R148" s="32">
        <f>IF(OR(tbl_de_massas[[#This Row],[dia_vencimento]]="", tbl_de_massas[[#This Row],[dia_vencimento]]="--"), "", WORKDAY(tbl_de_massas[[#This Row],[dia_vencimento]], 5))</f>
        <v>32</v>
      </c>
    </row>
    <row r="149" spans="1:18" x14ac:dyDescent="0.25">
      <c r="A149" t="s">
        <v>2180</v>
      </c>
      <c r="B149" t="s">
        <v>1773</v>
      </c>
      <c r="C149" s="32" t="s">
        <v>5827</v>
      </c>
      <c r="D149" t="s">
        <v>1771</v>
      </c>
      <c r="E149" s="54">
        <v>1951.23</v>
      </c>
      <c r="F149" s="54">
        <v>5067.59</v>
      </c>
      <c r="G149" s="54">
        <v>-2367.19</v>
      </c>
      <c r="H149" s="54">
        <v>310.31</v>
      </c>
      <c r="I149" t="s">
        <v>2877</v>
      </c>
      <c r="J149" s="31">
        <v>5067.59</v>
      </c>
      <c r="K149" s="36" t="s">
        <v>5843</v>
      </c>
      <c r="L149" t="s">
        <v>2502</v>
      </c>
      <c r="M149" t="s">
        <v>1774</v>
      </c>
      <c r="N149" t="s">
        <v>1341</v>
      </c>
      <c r="O149" t="s">
        <v>67</v>
      </c>
      <c r="Q149" s="23">
        <v>46254.9192621412</v>
      </c>
      <c r="R149" s="32">
        <f>IF(OR(tbl_de_massas[[#This Row],[dia_vencimento]]="", tbl_de_massas[[#This Row],[dia_vencimento]]="--"), "", WORKDAY(tbl_de_massas[[#This Row],[dia_vencimento]], 5))</f>
        <v>12</v>
      </c>
    </row>
    <row r="150" spans="1:18" x14ac:dyDescent="0.25">
      <c r="A150" t="s">
        <v>2181</v>
      </c>
      <c r="B150" t="s">
        <v>1657</v>
      </c>
      <c r="C150" s="32" t="s">
        <v>605</v>
      </c>
      <c r="D150" t="s">
        <v>1655</v>
      </c>
      <c r="E150" s="54">
        <v>3930.35</v>
      </c>
      <c r="F150" s="54">
        <v>5071.8999999999996</v>
      </c>
      <c r="G150" s="54">
        <v>-321.02</v>
      </c>
      <c r="H150" s="54">
        <v>314.62</v>
      </c>
      <c r="I150" t="s">
        <v>2877</v>
      </c>
      <c r="J150" s="31">
        <v>5071.8999999999996</v>
      </c>
      <c r="K150" s="36" t="s">
        <v>5843</v>
      </c>
      <c r="L150" t="s">
        <v>2502</v>
      </c>
      <c r="M150" t="s">
        <v>1658</v>
      </c>
      <c r="N150" t="s">
        <v>1341</v>
      </c>
      <c r="O150" t="s">
        <v>67</v>
      </c>
      <c r="Q150" s="23">
        <v>46254.919327650467</v>
      </c>
      <c r="R150" s="32">
        <f>IF(OR(tbl_de_massas[[#This Row],[dia_vencimento]]="", tbl_de_massas[[#This Row],[dia_vencimento]]="--"), "", WORKDAY(tbl_de_massas[[#This Row],[dia_vencimento]], 5))</f>
        <v>17</v>
      </c>
    </row>
    <row r="151" spans="1:18" x14ac:dyDescent="0.25">
      <c r="A151" t="s">
        <v>2182</v>
      </c>
      <c r="B151" t="s">
        <v>1644</v>
      </c>
      <c r="C151" s="32" t="s">
        <v>5827</v>
      </c>
      <c r="D151" t="s">
        <v>1645</v>
      </c>
      <c r="E151" s="54">
        <v>6763.32</v>
      </c>
      <c r="F151" s="54">
        <v>864.95</v>
      </c>
      <c r="G151" s="54">
        <v>12156.59</v>
      </c>
      <c r="H151" s="54">
        <v>0</v>
      </c>
      <c r="I151" t="s">
        <v>2876</v>
      </c>
      <c r="J151" s="31">
        <v>864.95</v>
      </c>
      <c r="K151" s="36" t="s">
        <v>1306</v>
      </c>
      <c r="L151" t="s">
        <v>2504</v>
      </c>
      <c r="M151" t="s">
        <v>1646</v>
      </c>
      <c r="N151" t="s">
        <v>1341</v>
      </c>
      <c r="O151" t="s">
        <v>67</v>
      </c>
      <c r="Q151" s="23">
        <v>46254.919455636576</v>
      </c>
      <c r="R151" s="32">
        <f>IF(OR(tbl_de_massas[[#This Row],[dia_vencimento]]="", tbl_de_massas[[#This Row],[dia_vencimento]]="--"), "", WORKDAY(tbl_de_massas[[#This Row],[dia_vencimento]], 5))</f>
        <v>12</v>
      </c>
    </row>
    <row r="152" spans="1:18" x14ac:dyDescent="0.25">
      <c r="A152" t="s">
        <v>2183</v>
      </c>
      <c r="B152" t="s">
        <v>1590</v>
      </c>
      <c r="C152" s="32" t="s">
        <v>608</v>
      </c>
      <c r="D152" t="s">
        <v>1588</v>
      </c>
      <c r="E152" s="54">
        <v>5928.58</v>
      </c>
      <c r="F152" s="54">
        <v>4497.5600000000004</v>
      </c>
      <c r="G152" s="54">
        <v>9372.7999999999993</v>
      </c>
      <c r="H152" s="54">
        <v>643.05999999999995</v>
      </c>
      <c r="I152" t="s">
        <v>2877</v>
      </c>
      <c r="J152" s="31">
        <v>4497.5600000000004</v>
      </c>
      <c r="K152" s="36" t="s">
        <v>1306</v>
      </c>
      <c r="L152" t="s">
        <v>2504</v>
      </c>
      <c r="M152" t="s">
        <v>1591</v>
      </c>
      <c r="N152" t="s">
        <v>1341</v>
      </c>
      <c r="O152" t="s">
        <v>67</v>
      </c>
      <c r="Q152" s="23">
        <v>46254.91957283565</v>
      </c>
      <c r="R152" s="32">
        <f>IF(OR(tbl_de_massas[[#This Row],[dia_vencimento]]="", tbl_de_massas[[#This Row],[dia_vencimento]]="--"), "", WORKDAY(tbl_de_massas[[#This Row],[dia_vencimento]], 5))</f>
        <v>27</v>
      </c>
    </row>
    <row r="153" spans="1:18" x14ac:dyDescent="0.25">
      <c r="A153" t="s">
        <v>2184</v>
      </c>
      <c r="B153" t="s">
        <v>2110</v>
      </c>
      <c r="C153" s="32" t="s">
        <v>611</v>
      </c>
      <c r="D153" t="s">
        <v>2108</v>
      </c>
      <c r="E153" s="54">
        <v>3827.43</v>
      </c>
      <c r="F153" s="54">
        <v>0</v>
      </c>
      <c r="G153" s="54">
        <v>16751.29</v>
      </c>
      <c r="H153" s="54">
        <v>0</v>
      </c>
      <c r="I153" t="s">
        <v>2881</v>
      </c>
      <c r="J153" s="31">
        <v>748.99</v>
      </c>
      <c r="K153" s="36" t="s">
        <v>1306</v>
      </c>
      <c r="L153" t="s">
        <v>2504</v>
      </c>
      <c r="M153" t="s">
        <v>2111</v>
      </c>
      <c r="N153" t="s">
        <v>1345</v>
      </c>
      <c r="O153" t="s">
        <v>67</v>
      </c>
      <c r="Q153" s="23">
        <v>46254.919802245371</v>
      </c>
      <c r="R153" s="32">
        <f>IF(OR(tbl_de_massas[[#This Row],[dia_vencimento]]="", tbl_de_massas[[#This Row],[dia_vencimento]]="--"), "", WORKDAY(tbl_de_massas[[#This Row],[dia_vencimento]], 5))</f>
        <v>32</v>
      </c>
    </row>
    <row r="154" spans="1:18" x14ac:dyDescent="0.25">
      <c r="A154" t="s">
        <v>2185</v>
      </c>
      <c r="B154" t="s">
        <v>1466</v>
      </c>
      <c r="C154" s="32" t="s">
        <v>611</v>
      </c>
      <c r="D154" t="s">
        <v>1463</v>
      </c>
      <c r="E154" s="54">
        <v>1238.25</v>
      </c>
      <c r="F154" s="54">
        <v>5402.26</v>
      </c>
      <c r="G154" s="54">
        <v>-2388.59</v>
      </c>
      <c r="H154" s="54">
        <v>3870.86</v>
      </c>
      <c r="I154" t="s">
        <v>2877</v>
      </c>
      <c r="J154" s="31">
        <v>5402.26</v>
      </c>
      <c r="K154" s="36" t="s">
        <v>5843</v>
      </c>
      <c r="L154" t="s">
        <v>2502</v>
      </c>
      <c r="M154" t="s">
        <v>1467</v>
      </c>
      <c r="N154" t="s">
        <v>1345</v>
      </c>
      <c r="O154" t="s">
        <v>67</v>
      </c>
      <c r="Q154" s="23">
        <v>46254.919881412039</v>
      </c>
      <c r="R154" s="32">
        <f>IF(OR(tbl_de_massas[[#This Row],[dia_vencimento]]="", tbl_de_massas[[#This Row],[dia_vencimento]]="--"), "", WORKDAY(tbl_de_massas[[#This Row],[dia_vencimento]], 5))</f>
        <v>32</v>
      </c>
    </row>
    <row r="155" spans="1:18" x14ac:dyDescent="0.25">
      <c r="A155" t="s">
        <v>2186</v>
      </c>
      <c r="B155" t="s">
        <v>1752</v>
      </c>
      <c r="C155" s="32" t="s">
        <v>611</v>
      </c>
      <c r="D155" t="s">
        <v>1750</v>
      </c>
      <c r="E155" s="54">
        <v>7692.26</v>
      </c>
      <c r="F155" s="54">
        <v>5190.05</v>
      </c>
      <c r="G155" s="54">
        <v>10047.799999999999</v>
      </c>
      <c r="H155" s="54">
        <v>3870.86</v>
      </c>
      <c r="I155" t="s">
        <v>2877</v>
      </c>
      <c r="J155" s="31">
        <v>5190.05</v>
      </c>
      <c r="K155" s="36" t="s">
        <v>5843</v>
      </c>
      <c r="L155" t="s">
        <v>2502</v>
      </c>
      <c r="M155" t="s">
        <v>1753</v>
      </c>
      <c r="N155" t="s">
        <v>1341</v>
      </c>
      <c r="O155" t="s">
        <v>67</v>
      </c>
      <c r="Q155" s="23">
        <v>46254.919977650461</v>
      </c>
      <c r="R155" s="32">
        <f>IF(OR(tbl_de_massas[[#This Row],[dia_vencimento]]="", tbl_de_massas[[#This Row],[dia_vencimento]]="--"), "", WORKDAY(tbl_de_massas[[#This Row],[dia_vencimento]], 5))</f>
        <v>32</v>
      </c>
    </row>
    <row r="156" spans="1:18" x14ac:dyDescent="0.25">
      <c r="A156" t="s">
        <v>2187</v>
      </c>
      <c r="B156" t="s">
        <v>1811</v>
      </c>
      <c r="C156" s="32" t="s">
        <v>608</v>
      </c>
      <c r="D156" t="s">
        <v>1809</v>
      </c>
      <c r="E156" s="54">
        <v>1941.99</v>
      </c>
      <c r="F156" s="54">
        <v>1384</v>
      </c>
      <c r="G156" s="54">
        <v>18409.82</v>
      </c>
      <c r="H156" s="54">
        <v>604.92999999999995</v>
      </c>
      <c r="I156" t="s">
        <v>2877</v>
      </c>
      <c r="J156" s="31">
        <v>1384</v>
      </c>
      <c r="K156" s="36" t="s">
        <v>1306</v>
      </c>
      <c r="L156" t="s">
        <v>2504</v>
      </c>
      <c r="M156" t="s">
        <v>1812</v>
      </c>
      <c r="N156" t="s">
        <v>1345</v>
      </c>
      <c r="O156" t="s">
        <v>67</v>
      </c>
      <c r="Q156" s="23">
        <v>46254.921526134262</v>
      </c>
      <c r="R156" s="32">
        <f>IF(OR(tbl_de_massas[[#This Row],[dia_vencimento]]="", tbl_de_massas[[#This Row],[dia_vencimento]]="--"), "", WORKDAY(tbl_de_massas[[#This Row],[dia_vencimento]], 5))</f>
        <v>27</v>
      </c>
    </row>
    <row r="157" spans="1:18" x14ac:dyDescent="0.25">
      <c r="A157" t="s">
        <v>2188</v>
      </c>
      <c r="B157" t="s">
        <v>2075</v>
      </c>
      <c r="C157" s="32" t="s">
        <v>605</v>
      </c>
      <c r="D157" t="s">
        <v>2076</v>
      </c>
      <c r="E157" s="54">
        <v>1000</v>
      </c>
      <c r="F157" s="54">
        <v>3708.88</v>
      </c>
      <c r="G157" s="54">
        <v>1291.1199999999999</v>
      </c>
      <c r="H157" s="54">
        <v>2235.64</v>
      </c>
      <c r="I157" t="s">
        <v>2877</v>
      </c>
      <c r="J157" s="31">
        <v>3708.88</v>
      </c>
      <c r="K157" s="36" t="s">
        <v>5830</v>
      </c>
      <c r="L157" t="s">
        <v>2502</v>
      </c>
      <c r="M157" t="s">
        <v>2077</v>
      </c>
      <c r="N157" t="s">
        <v>1341</v>
      </c>
      <c r="O157" t="s">
        <v>67</v>
      </c>
      <c r="Q157" s="23">
        <v>46254.958003009262</v>
      </c>
      <c r="R157" s="32">
        <f>IF(OR(tbl_de_massas[[#This Row],[dia_vencimento]]="", tbl_de_massas[[#This Row],[dia_vencimento]]="--"), "", WORKDAY(tbl_de_massas[[#This Row],[dia_vencimento]], 5))</f>
        <v>17</v>
      </c>
    </row>
    <row r="158" spans="1:18" x14ac:dyDescent="0.25">
      <c r="A158" t="s">
        <v>2189</v>
      </c>
      <c r="B158" t="s">
        <v>2048</v>
      </c>
      <c r="C158" s="32" t="s">
        <v>607</v>
      </c>
      <c r="D158" t="s">
        <v>2049</v>
      </c>
      <c r="E158" s="54">
        <v>500</v>
      </c>
      <c r="F158" s="54">
        <v>888.73</v>
      </c>
      <c r="G158" s="54">
        <v>2111.27</v>
      </c>
      <c r="H158" s="54">
        <v>858.75</v>
      </c>
      <c r="I158" t="s">
        <v>2877</v>
      </c>
      <c r="J158" s="31">
        <v>888.73</v>
      </c>
      <c r="K158" s="36" t="s">
        <v>5837</v>
      </c>
      <c r="L158" t="s">
        <v>2502</v>
      </c>
      <c r="M158" t="s">
        <v>2050</v>
      </c>
      <c r="N158" t="s">
        <v>1341</v>
      </c>
      <c r="O158" t="s">
        <v>67</v>
      </c>
      <c r="Q158" s="23">
        <v>46254.958762824077</v>
      </c>
      <c r="R158" s="32">
        <f>IF(OR(tbl_de_massas[[#This Row],[dia_vencimento]]="", tbl_de_massas[[#This Row],[dia_vencimento]]="--"), "", WORKDAY(tbl_de_massas[[#This Row],[dia_vencimento]], 5))</f>
        <v>20</v>
      </c>
    </row>
    <row r="159" spans="1:18" x14ac:dyDescent="0.25">
      <c r="A159" t="s">
        <v>2190</v>
      </c>
      <c r="B159" t="s">
        <v>2045</v>
      </c>
      <c r="C159" s="32" t="s">
        <v>608</v>
      </c>
      <c r="D159" t="s">
        <v>2046</v>
      </c>
      <c r="E159" s="54">
        <v>750</v>
      </c>
      <c r="F159" s="54">
        <v>5512.3</v>
      </c>
      <c r="G159" s="54">
        <v>-1512.3</v>
      </c>
      <c r="H159" s="54">
        <v>755.02</v>
      </c>
      <c r="I159" t="s">
        <v>2877</v>
      </c>
      <c r="J159" s="31">
        <v>5512.3</v>
      </c>
      <c r="K159" s="36" t="s">
        <v>5843</v>
      </c>
      <c r="L159" t="s">
        <v>2502</v>
      </c>
      <c r="M159" t="s">
        <v>2047</v>
      </c>
      <c r="N159" t="s">
        <v>1345</v>
      </c>
      <c r="O159" t="s">
        <v>67</v>
      </c>
      <c r="Q159" s="23">
        <v>46254.961377581021</v>
      </c>
      <c r="R159" s="32">
        <f>IF(OR(tbl_de_massas[[#This Row],[dia_vencimento]]="", tbl_de_massas[[#This Row],[dia_vencimento]]="--"), "", WORKDAY(tbl_de_massas[[#This Row],[dia_vencimento]], 5))</f>
        <v>27</v>
      </c>
    </row>
    <row r="160" spans="1:18" x14ac:dyDescent="0.25">
      <c r="A160" t="s">
        <v>2191</v>
      </c>
      <c r="B160" t="s">
        <v>1506</v>
      </c>
      <c r="C160" s="32" t="s">
        <v>605</v>
      </c>
      <c r="D160" t="s">
        <v>1507</v>
      </c>
      <c r="E160" s="54">
        <v>2353</v>
      </c>
      <c r="F160" s="54">
        <v>6410.04</v>
      </c>
      <c r="G160" s="54">
        <v>13589.96</v>
      </c>
      <c r="H160" s="54">
        <v>3870.16</v>
      </c>
      <c r="I160" t="s">
        <v>2877</v>
      </c>
      <c r="J160" s="31">
        <v>6410.04</v>
      </c>
      <c r="K160" s="36" t="s">
        <v>5830</v>
      </c>
      <c r="L160" t="s">
        <v>2502</v>
      </c>
      <c r="M160" t="s">
        <v>1508</v>
      </c>
      <c r="N160" t="s">
        <v>1341</v>
      </c>
      <c r="O160" t="s">
        <v>67</v>
      </c>
      <c r="Q160" s="23">
        <v>46254.965238321762</v>
      </c>
      <c r="R160" s="32">
        <f>IF(OR(tbl_de_massas[[#This Row],[dia_vencimento]]="", tbl_de_massas[[#This Row],[dia_vencimento]]="--"), "", WORKDAY(tbl_de_massas[[#This Row],[dia_vencimento]], 5))</f>
        <v>17</v>
      </c>
    </row>
    <row r="161" spans="1:18" x14ac:dyDescent="0.25">
      <c r="A161" t="s">
        <v>2192</v>
      </c>
      <c r="B161" t="s">
        <v>1539</v>
      </c>
      <c r="C161" s="32" t="s">
        <v>605</v>
      </c>
      <c r="D161" t="s">
        <v>1540</v>
      </c>
      <c r="E161" s="54">
        <v>100</v>
      </c>
      <c r="F161" s="54">
        <v>1010.95</v>
      </c>
      <c r="G161" s="54">
        <v>7989.05</v>
      </c>
      <c r="H161" s="54">
        <v>951.34</v>
      </c>
      <c r="I161" t="s">
        <v>2877</v>
      </c>
      <c r="J161" s="31">
        <v>1010.95</v>
      </c>
      <c r="K161" s="36" t="s">
        <v>5830</v>
      </c>
      <c r="L161" t="s">
        <v>2502</v>
      </c>
      <c r="M161" t="s">
        <v>1541</v>
      </c>
      <c r="N161" t="s">
        <v>1341</v>
      </c>
      <c r="O161" t="s">
        <v>67</v>
      </c>
      <c r="Q161" s="23">
        <v>46254.971112581021</v>
      </c>
      <c r="R161" s="32">
        <f>IF(OR(tbl_de_massas[[#This Row],[dia_vencimento]]="", tbl_de_massas[[#This Row],[dia_vencimento]]="--"), "", WORKDAY(tbl_de_massas[[#This Row],[dia_vencimento]], 5))</f>
        <v>17</v>
      </c>
    </row>
    <row r="162" spans="1:18" x14ac:dyDescent="0.25">
      <c r="A162" t="s">
        <v>2193</v>
      </c>
      <c r="B162" t="s">
        <v>1400</v>
      </c>
      <c r="C162" s="32" t="s">
        <v>605</v>
      </c>
      <c r="D162" t="s">
        <v>1401</v>
      </c>
      <c r="E162" s="54">
        <v>2000</v>
      </c>
      <c r="F162" s="54">
        <v>1055.05</v>
      </c>
      <c r="G162" s="54">
        <v>3944.95</v>
      </c>
      <c r="H162" s="54">
        <v>0</v>
      </c>
      <c r="I162" t="s">
        <v>2876</v>
      </c>
      <c r="J162" s="31">
        <v>0</v>
      </c>
      <c r="K162" s="36" t="s">
        <v>1306</v>
      </c>
      <c r="L162" t="s">
        <v>2504</v>
      </c>
      <c r="M162" t="s">
        <v>1402</v>
      </c>
      <c r="N162" t="s">
        <v>1403</v>
      </c>
      <c r="O162" t="s">
        <v>67</v>
      </c>
      <c r="Q162" s="23">
        <v>46263.815067581018</v>
      </c>
      <c r="R162" s="32">
        <f>IF(OR(tbl_de_massas[[#This Row],[dia_vencimento]]="", tbl_de_massas[[#This Row],[dia_vencimento]]="--"), "", WORKDAY(tbl_de_massas[[#This Row],[dia_vencimento]], 5))</f>
        <v>17</v>
      </c>
    </row>
    <row r="163" spans="1:18" x14ac:dyDescent="0.25">
      <c r="A163" t="s">
        <v>2194</v>
      </c>
      <c r="B163" t="s">
        <v>1778</v>
      </c>
      <c r="C163" s="32" t="s">
        <v>5827</v>
      </c>
      <c r="D163" t="s">
        <v>1776</v>
      </c>
      <c r="E163" s="54">
        <v>4498.93</v>
      </c>
      <c r="F163" s="54">
        <v>4876.28</v>
      </c>
      <c r="G163" s="54">
        <v>9085.1299999999992</v>
      </c>
      <c r="H163" s="54">
        <v>247.82</v>
      </c>
      <c r="I163" t="s">
        <v>2877</v>
      </c>
      <c r="J163" s="31">
        <v>4876.28</v>
      </c>
      <c r="K163" s="36" t="s">
        <v>5849</v>
      </c>
      <c r="L163" t="s">
        <v>2502</v>
      </c>
      <c r="M163" t="s">
        <v>1779</v>
      </c>
      <c r="N163" t="s">
        <v>1341</v>
      </c>
      <c r="O163" t="s">
        <v>67</v>
      </c>
      <c r="Q163" s="23">
        <v>46263.81759820602</v>
      </c>
      <c r="R163" s="32">
        <f>IF(OR(tbl_de_massas[[#This Row],[dia_vencimento]]="", tbl_de_massas[[#This Row],[dia_vencimento]]="--"), "", WORKDAY(tbl_de_massas[[#This Row],[dia_vencimento]], 5))</f>
        <v>12</v>
      </c>
    </row>
    <row r="164" spans="1:18" x14ac:dyDescent="0.25">
      <c r="A164" t="s">
        <v>2195</v>
      </c>
      <c r="B164" t="s">
        <v>2065</v>
      </c>
      <c r="C164" s="32" t="s">
        <v>611</v>
      </c>
      <c r="D164" t="s">
        <v>2066</v>
      </c>
      <c r="E164" s="54">
        <v>6839.28</v>
      </c>
      <c r="F164" s="54">
        <v>675.34</v>
      </c>
      <c r="G164" s="54">
        <v>2904.47</v>
      </c>
      <c r="H164" s="54">
        <v>0</v>
      </c>
      <c r="I164" t="s">
        <v>2881</v>
      </c>
      <c r="J164" s="31">
        <v>675.34</v>
      </c>
      <c r="K164" s="36" t="s">
        <v>1306</v>
      </c>
      <c r="L164" t="s">
        <v>2504</v>
      </c>
      <c r="M164" t="s">
        <v>2067</v>
      </c>
      <c r="N164" t="s">
        <v>1341</v>
      </c>
      <c r="O164" t="s">
        <v>67</v>
      </c>
      <c r="Q164" s="23">
        <v>46263.817697268518</v>
      </c>
      <c r="R164" s="32">
        <f>IF(OR(tbl_de_massas[[#This Row],[dia_vencimento]]="", tbl_de_massas[[#This Row],[dia_vencimento]]="--"), "", WORKDAY(tbl_de_massas[[#This Row],[dia_vencimento]], 5))</f>
        <v>32</v>
      </c>
    </row>
    <row r="165" spans="1:18" x14ac:dyDescent="0.25">
      <c r="A165" t="s">
        <v>2196</v>
      </c>
      <c r="B165" t="s">
        <v>1534</v>
      </c>
      <c r="C165" s="32" t="s">
        <v>607</v>
      </c>
      <c r="D165" t="s">
        <v>1535</v>
      </c>
      <c r="E165" s="54">
        <v>2650.74</v>
      </c>
      <c r="F165" s="54">
        <v>510.9</v>
      </c>
      <c r="G165" s="54">
        <v>16200.27</v>
      </c>
      <c r="H165" s="54">
        <v>493.69</v>
      </c>
      <c r="I165" t="s">
        <v>2877</v>
      </c>
      <c r="J165" s="31">
        <v>510.9</v>
      </c>
      <c r="K165" s="36" t="s">
        <v>5837</v>
      </c>
      <c r="L165" t="s">
        <v>2502</v>
      </c>
      <c r="M165" t="s">
        <v>1536</v>
      </c>
      <c r="N165" t="s">
        <v>1341</v>
      </c>
      <c r="O165" t="s">
        <v>67</v>
      </c>
      <c r="Q165" s="23">
        <v>46263.817762245373</v>
      </c>
      <c r="R165" s="32">
        <f>IF(OR(tbl_de_massas[[#This Row],[dia_vencimento]]="", tbl_de_massas[[#This Row],[dia_vencimento]]="--"), "", WORKDAY(tbl_de_massas[[#This Row],[dia_vencimento]], 5))</f>
        <v>20</v>
      </c>
    </row>
    <row r="166" spans="1:18" x14ac:dyDescent="0.25">
      <c r="A166" t="s">
        <v>2197</v>
      </c>
      <c r="B166" t="s">
        <v>2124</v>
      </c>
      <c r="C166" s="32" t="s">
        <v>605</v>
      </c>
      <c r="D166" t="s">
        <v>2122</v>
      </c>
      <c r="E166" s="54">
        <v>13562.06</v>
      </c>
      <c r="F166" s="54">
        <v>785.02</v>
      </c>
      <c r="G166" s="54">
        <v>13927.15</v>
      </c>
      <c r="H166" s="54">
        <v>315.68</v>
      </c>
      <c r="I166" t="s">
        <v>2877</v>
      </c>
      <c r="J166" s="31">
        <v>785.02</v>
      </c>
      <c r="K166" s="36" t="s">
        <v>5830</v>
      </c>
      <c r="L166" t="s">
        <v>2502</v>
      </c>
      <c r="M166" t="s">
        <v>2125</v>
      </c>
      <c r="N166" t="s">
        <v>1345</v>
      </c>
      <c r="O166" t="s">
        <v>67</v>
      </c>
      <c r="Q166" s="23">
        <v>46263.817832361114</v>
      </c>
      <c r="R166" s="32">
        <f>IF(OR(tbl_de_massas[[#This Row],[dia_vencimento]]="", tbl_de_massas[[#This Row],[dia_vencimento]]="--"), "", WORKDAY(tbl_de_massas[[#This Row],[dia_vencimento]], 5))</f>
        <v>17</v>
      </c>
    </row>
    <row r="167" spans="1:18" x14ac:dyDescent="0.25">
      <c r="A167" t="s">
        <v>2198</v>
      </c>
      <c r="B167" t="s">
        <v>1599</v>
      </c>
      <c r="C167" s="32" t="s">
        <v>608</v>
      </c>
      <c r="D167" t="s">
        <v>1597</v>
      </c>
      <c r="E167" s="54">
        <v>13854.97</v>
      </c>
      <c r="F167" s="54">
        <v>4992.6499999999996</v>
      </c>
      <c r="G167" s="54">
        <v>8794.85</v>
      </c>
      <c r="H167" s="54">
        <v>364.19</v>
      </c>
      <c r="I167" t="s">
        <v>2877</v>
      </c>
      <c r="J167" s="31">
        <v>4992.6499999999996</v>
      </c>
      <c r="K167" s="36" t="s">
        <v>5849</v>
      </c>
      <c r="L167" t="s">
        <v>2502</v>
      </c>
      <c r="M167" t="s">
        <v>1600</v>
      </c>
      <c r="N167" t="s">
        <v>1345</v>
      </c>
      <c r="O167" t="s">
        <v>67</v>
      </c>
      <c r="Q167" s="23">
        <v>46263.817934525461</v>
      </c>
      <c r="R167" s="32">
        <f>IF(OR(tbl_de_massas[[#This Row],[dia_vencimento]]="", tbl_de_massas[[#This Row],[dia_vencimento]]="--"), "", WORKDAY(tbl_de_massas[[#This Row],[dia_vencimento]], 5))</f>
        <v>27</v>
      </c>
    </row>
    <row r="168" spans="1:18" x14ac:dyDescent="0.25">
      <c r="A168" t="s">
        <v>2199</v>
      </c>
      <c r="B168" t="s">
        <v>1445</v>
      </c>
      <c r="C168" s="32" t="s">
        <v>605</v>
      </c>
      <c r="D168" t="s">
        <v>1446</v>
      </c>
      <c r="E168" s="54">
        <v>5479.53</v>
      </c>
      <c r="F168" s="54">
        <v>583.65</v>
      </c>
      <c r="G168" s="54">
        <v>8460.08</v>
      </c>
      <c r="H168" s="54">
        <v>549.23</v>
      </c>
      <c r="I168" t="s">
        <v>2877</v>
      </c>
      <c r="J168" s="31">
        <v>583.65</v>
      </c>
      <c r="K168" s="36" t="s">
        <v>5830</v>
      </c>
      <c r="L168" t="s">
        <v>2502</v>
      </c>
      <c r="M168" t="s">
        <v>1447</v>
      </c>
      <c r="N168" t="s">
        <v>1341</v>
      </c>
      <c r="O168" t="s">
        <v>67</v>
      </c>
      <c r="Q168" s="23">
        <v>46263.817990162039</v>
      </c>
      <c r="R168" s="32">
        <f>IF(OR(tbl_de_massas[[#This Row],[dia_vencimento]]="", tbl_de_massas[[#This Row],[dia_vencimento]]="--"), "", WORKDAY(tbl_de_massas[[#This Row],[dia_vencimento]], 5))</f>
        <v>17</v>
      </c>
    </row>
    <row r="169" spans="1:18" x14ac:dyDescent="0.25">
      <c r="A169" t="s">
        <v>2200</v>
      </c>
      <c r="B169" t="s">
        <v>1938</v>
      </c>
      <c r="C169" s="32" t="s">
        <v>607</v>
      </c>
      <c r="D169" t="s">
        <v>1936</v>
      </c>
      <c r="E169" s="54">
        <v>5371.2</v>
      </c>
      <c r="F169" s="54">
        <v>0</v>
      </c>
      <c r="G169" s="54">
        <v>2573.5700000000002</v>
      </c>
      <c r="H169" s="54">
        <v>0</v>
      </c>
      <c r="I169" t="s">
        <v>2876</v>
      </c>
      <c r="J169" s="31">
        <v>0</v>
      </c>
      <c r="K169" s="36" t="s">
        <v>1306</v>
      </c>
      <c r="L169" t="s">
        <v>2504</v>
      </c>
      <c r="M169" t="s">
        <v>1939</v>
      </c>
      <c r="N169" t="s">
        <v>1341</v>
      </c>
      <c r="O169" t="s">
        <v>67</v>
      </c>
      <c r="Q169" s="23">
        <v>46263.81810571759</v>
      </c>
      <c r="R169" s="32">
        <f>IF(OR(tbl_de_massas[[#This Row],[dia_vencimento]]="", tbl_de_massas[[#This Row],[dia_vencimento]]="--"), "", WORKDAY(tbl_de_massas[[#This Row],[dia_vencimento]], 5))</f>
        <v>20</v>
      </c>
    </row>
    <row r="170" spans="1:18" x14ac:dyDescent="0.25">
      <c r="A170" t="s">
        <v>2201</v>
      </c>
      <c r="B170" t="s">
        <v>1649</v>
      </c>
      <c r="C170" s="32" t="s">
        <v>608</v>
      </c>
      <c r="D170" t="s">
        <v>1650</v>
      </c>
      <c r="E170" s="54">
        <v>4213.6400000000003</v>
      </c>
      <c r="F170" s="54">
        <v>890.61</v>
      </c>
      <c r="G170" s="54">
        <v>13227.52</v>
      </c>
      <c r="H170" s="54">
        <v>890.61</v>
      </c>
      <c r="I170" t="s">
        <v>2877</v>
      </c>
      <c r="J170" s="31">
        <v>890.61</v>
      </c>
      <c r="K170" s="36" t="s">
        <v>1306</v>
      </c>
      <c r="L170" t="s">
        <v>2504</v>
      </c>
      <c r="M170" t="s">
        <v>1651</v>
      </c>
      <c r="N170" t="s">
        <v>1341</v>
      </c>
      <c r="O170" t="s">
        <v>67</v>
      </c>
      <c r="Q170" s="23">
        <v>46263.8182103125</v>
      </c>
      <c r="R170" s="32">
        <f>IF(OR(tbl_de_massas[[#This Row],[dia_vencimento]]="", tbl_de_massas[[#This Row],[dia_vencimento]]="--"), "", WORKDAY(tbl_de_massas[[#This Row],[dia_vencimento]], 5))</f>
        <v>27</v>
      </c>
    </row>
    <row r="171" spans="1:18" x14ac:dyDescent="0.25">
      <c r="A171" t="s">
        <v>2202</v>
      </c>
      <c r="B171" t="s">
        <v>1855</v>
      </c>
      <c r="C171" s="32" t="s">
        <v>608</v>
      </c>
      <c r="D171" t="s">
        <v>1853</v>
      </c>
      <c r="E171" s="54">
        <v>5559.3</v>
      </c>
      <c r="F171" s="54">
        <v>639.19000000000005</v>
      </c>
      <c r="G171" s="54">
        <v>13634.83</v>
      </c>
      <c r="H171" s="54">
        <v>639.19000000000005</v>
      </c>
      <c r="I171" t="s">
        <v>2877</v>
      </c>
      <c r="J171" s="31">
        <v>639.19000000000005</v>
      </c>
      <c r="K171" s="36" t="s">
        <v>1306</v>
      </c>
      <c r="L171" t="s">
        <v>2504</v>
      </c>
      <c r="M171" t="s">
        <v>1856</v>
      </c>
      <c r="N171" t="s">
        <v>1345</v>
      </c>
      <c r="O171" t="s">
        <v>67</v>
      </c>
      <c r="Q171" s="23">
        <v>46263.81830392361</v>
      </c>
      <c r="R171" s="32">
        <f>IF(OR(tbl_de_massas[[#This Row],[dia_vencimento]]="", tbl_de_massas[[#This Row],[dia_vencimento]]="--"), "", WORKDAY(tbl_de_massas[[#This Row],[dia_vencimento]], 5))</f>
        <v>27</v>
      </c>
    </row>
    <row r="172" spans="1:18" x14ac:dyDescent="0.25">
      <c r="A172" t="s">
        <v>2203</v>
      </c>
      <c r="B172" t="s">
        <v>1408</v>
      </c>
      <c r="C172" s="32" t="s">
        <v>605</v>
      </c>
      <c r="D172" t="s">
        <v>1409</v>
      </c>
      <c r="E172" s="54">
        <v>2000</v>
      </c>
      <c r="F172" s="54">
        <v>1055.05</v>
      </c>
      <c r="G172" s="54">
        <v>3944.95</v>
      </c>
      <c r="H172" s="54">
        <v>0</v>
      </c>
      <c r="I172" t="s">
        <v>2876</v>
      </c>
      <c r="J172" s="31">
        <v>0</v>
      </c>
      <c r="K172" s="36" t="s">
        <v>1306</v>
      </c>
      <c r="L172" t="s">
        <v>2504</v>
      </c>
      <c r="M172" t="s">
        <v>1410</v>
      </c>
      <c r="N172" t="s">
        <v>1411</v>
      </c>
      <c r="O172" t="s">
        <v>67</v>
      </c>
      <c r="Q172" s="23">
        <v>46264.63551709491</v>
      </c>
      <c r="R172" s="32">
        <f>IF(OR(tbl_de_massas[[#This Row],[dia_vencimento]]="", tbl_de_massas[[#This Row],[dia_vencimento]]="--"), "", WORKDAY(tbl_de_massas[[#This Row],[dia_vencimento]], 5))</f>
        <v>17</v>
      </c>
    </row>
    <row r="173" spans="1:18" x14ac:dyDescent="0.25">
      <c r="A173" t="s">
        <v>2204</v>
      </c>
      <c r="B173" t="s">
        <v>1631</v>
      </c>
      <c r="C173" s="32" t="s">
        <v>605</v>
      </c>
      <c r="D173" t="s">
        <v>2516</v>
      </c>
      <c r="E173" s="54">
        <v>2000</v>
      </c>
      <c r="F173" s="54">
        <v>1055.05</v>
      </c>
      <c r="G173" s="54">
        <v>3944.95</v>
      </c>
      <c r="H173" s="54">
        <v>0</v>
      </c>
      <c r="I173" t="s">
        <v>2876</v>
      </c>
      <c r="J173" s="31">
        <v>0</v>
      </c>
      <c r="K173" s="36" t="s">
        <v>1306</v>
      </c>
      <c r="L173" t="s">
        <v>2504</v>
      </c>
      <c r="M173" t="s">
        <v>1632</v>
      </c>
      <c r="N173" t="s">
        <v>1633</v>
      </c>
      <c r="O173" t="s">
        <v>67</v>
      </c>
      <c r="Q173" s="23">
        <v>46264.636143495372</v>
      </c>
      <c r="R173" s="32">
        <f>IF(OR(tbl_de_massas[[#This Row],[dia_vencimento]]="", tbl_de_massas[[#This Row],[dia_vencimento]]="--"), "", WORKDAY(tbl_de_massas[[#This Row],[dia_vencimento]], 5))</f>
        <v>17</v>
      </c>
    </row>
    <row r="174" spans="1:18" x14ac:dyDescent="0.25">
      <c r="A174" t="s">
        <v>2205</v>
      </c>
      <c r="B174" t="s">
        <v>1678</v>
      </c>
      <c r="C174" s="32" t="s">
        <v>605</v>
      </c>
      <c r="D174" t="s">
        <v>1679</v>
      </c>
      <c r="E174" s="54">
        <v>2000</v>
      </c>
      <c r="F174" s="54">
        <v>1055.05</v>
      </c>
      <c r="G174" s="54">
        <v>3944.95</v>
      </c>
      <c r="H174" s="54">
        <v>0</v>
      </c>
      <c r="I174" t="s">
        <v>2876</v>
      </c>
      <c r="J174" s="31">
        <v>0</v>
      </c>
      <c r="K174" s="36" t="s">
        <v>1306</v>
      </c>
      <c r="L174" t="s">
        <v>2504</v>
      </c>
      <c r="M174" t="s">
        <v>1680</v>
      </c>
      <c r="N174" t="s">
        <v>607</v>
      </c>
      <c r="O174" t="s">
        <v>67</v>
      </c>
      <c r="Q174" s="23">
        <v>46264.795068796295</v>
      </c>
      <c r="R174" s="32">
        <f>IF(OR(tbl_de_massas[[#This Row],[dia_vencimento]]="", tbl_de_massas[[#This Row],[dia_vencimento]]="--"), "", WORKDAY(tbl_de_massas[[#This Row],[dia_vencimento]], 5))</f>
        <v>17</v>
      </c>
    </row>
    <row r="175" spans="1:18" x14ac:dyDescent="0.25">
      <c r="A175" t="s">
        <v>2206</v>
      </c>
      <c r="B175" t="s">
        <v>1553</v>
      </c>
      <c r="C175" s="32" t="s">
        <v>605</v>
      </c>
      <c r="D175" t="s">
        <v>2517</v>
      </c>
      <c r="E175" s="54">
        <v>2000</v>
      </c>
      <c r="F175" s="54">
        <v>1055.05</v>
      </c>
      <c r="G175" s="54">
        <v>3944.95</v>
      </c>
      <c r="H175" s="54">
        <v>0</v>
      </c>
      <c r="I175" t="s">
        <v>2876</v>
      </c>
      <c r="J175" s="31">
        <v>0</v>
      </c>
      <c r="K175" s="36" t="s">
        <v>1306</v>
      </c>
      <c r="L175" t="s">
        <v>2504</v>
      </c>
      <c r="M175" t="s">
        <v>1554</v>
      </c>
      <c r="N175" t="s">
        <v>461</v>
      </c>
      <c r="O175" t="s">
        <v>67</v>
      </c>
      <c r="Q175" s="23">
        <v>46264.795742962961</v>
      </c>
      <c r="R175" s="32">
        <f>IF(OR(tbl_de_massas[[#This Row],[dia_vencimento]]="", tbl_de_massas[[#This Row],[dia_vencimento]]="--"), "", WORKDAY(tbl_de_massas[[#This Row],[dia_vencimento]], 5))</f>
        <v>17</v>
      </c>
    </row>
    <row r="176" spans="1:18" x14ac:dyDescent="0.25">
      <c r="A176" t="s">
        <v>2207</v>
      </c>
      <c r="B176" t="s">
        <v>2022</v>
      </c>
      <c r="C176" s="32" t="s">
        <v>605</v>
      </c>
      <c r="D176" t="s">
        <v>2023</v>
      </c>
      <c r="E176" s="54">
        <v>2000</v>
      </c>
      <c r="F176" s="54">
        <v>1055.05</v>
      </c>
      <c r="G176" s="54">
        <v>3944.95</v>
      </c>
      <c r="H176" s="54">
        <v>0</v>
      </c>
      <c r="I176" t="s">
        <v>2876</v>
      </c>
      <c r="J176" s="31">
        <v>0</v>
      </c>
      <c r="K176" s="36" t="s">
        <v>1306</v>
      </c>
      <c r="L176" t="s">
        <v>2504</v>
      </c>
      <c r="M176" t="s">
        <v>2024</v>
      </c>
      <c r="N176" t="s">
        <v>2025</v>
      </c>
      <c r="O176" t="s">
        <v>67</v>
      </c>
      <c r="Q176" s="23">
        <v>46264.796442465275</v>
      </c>
      <c r="R176" s="32">
        <f>IF(OR(tbl_de_massas[[#This Row],[dia_vencimento]]="", tbl_de_massas[[#This Row],[dia_vencimento]]="--"), "", WORKDAY(tbl_de_massas[[#This Row],[dia_vencimento]], 5))</f>
        <v>17</v>
      </c>
    </row>
    <row r="177" spans="1:18" x14ac:dyDescent="0.25">
      <c r="A177" t="s">
        <v>2208</v>
      </c>
      <c r="B177" t="s">
        <v>1612</v>
      </c>
      <c r="C177" s="32" t="s">
        <v>605</v>
      </c>
      <c r="D177" t="s">
        <v>1613</v>
      </c>
      <c r="E177" s="54">
        <v>2000</v>
      </c>
      <c r="F177" s="54">
        <v>1055.05</v>
      </c>
      <c r="G177" s="54">
        <v>3944.95</v>
      </c>
      <c r="H177" s="54">
        <v>0</v>
      </c>
      <c r="I177" t="s">
        <v>2876</v>
      </c>
      <c r="J177" s="31">
        <v>0</v>
      </c>
      <c r="K177" s="36" t="s">
        <v>1306</v>
      </c>
      <c r="L177" t="s">
        <v>2504</v>
      </c>
      <c r="M177" t="s">
        <v>1614</v>
      </c>
      <c r="N177" t="s">
        <v>1615</v>
      </c>
      <c r="O177" t="s">
        <v>67</v>
      </c>
      <c r="Q177" s="23">
        <v>46264.798346006944</v>
      </c>
      <c r="R177" s="32">
        <f>IF(OR(tbl_de_massas[[#This Row],[dia_vencimento]]="", tbl_de_massas[[#This Row],[dia_vencimento]]="--"), "", WORKDAY(tbl_de_massas[[#This Row],[dia_vencimento]], 5))</f>
        <v>17</v>
      </c>
    </row>
    <row r="178" spans="1:18" x14ac:dyDescent="0.25">
      <c r="A178" t="s">
        <v>2209</v>
      </c>
      <c r="B178" t="s">
        <v>1942</v>
      </c>
      <c r="C178" s="32" t="s">
        <v>605</v>
      </c>
      <c r="D178" t="s">
        <v>1943</v>
      </c>
      <c r="E178" s="54">
        <v>2000</v>
      </c>
      <c r="F178" s="54">
        <v>1055.05</v>
      </c>
      <c r="G178" s="54">
        <v>3944.95</v>
      </c>
      <c r="H178" s="54">
        <v>0</v>
      </c>
      <c r="I178" t="s">
        <v>2876</v>
      </c>
      <c r="J178" s="31">
        <v>0</v>
      </c>
      <c r="K178" s="36" t="s">
        <v>1306</v>
      </c>
      <c r="L178" t="s">
        <v>2504</v>
      </c>
      <c r="M178" t="s">
        <v>1944</v>
      </c>
      <c r="N178" t="s">
        <v>1945</v>
      </c>
      <c r="O178" t="s">
        <v>67</v>
      </c>
      <c r="Q178" s="23">
        <v>46264.798953275465</v>
      </c>
      <c r="R178" s="32">
        <f>IF(OR(tbl_de_massas[[#This Row],[dia_vencimento]]="", tbl_de_massas[[#This Row],[dia_vencimento]]="--"), "", WORKDAY(tbl_de_massas[[#This Row],[dia_vencimento]], 5))</f>
        <v>17</v>
      </c>
    </row>
    <row r="179" spans="1:18" x14ac:dyDescent="0.25">
      <c r="A179" t="s">
        <v>2210</v>
      </c>
      <c r="B179" t="s">
        <v>1896</v>
      </c>
      <c r="C179" s="32" t="s">
        <v>5827</v>
      </c>
      <c r="D179" t="s">
        <v>1894</v>
      </c>
      <c r="E179" s="54">
        <v>12565.02</v>
      </c>
      <c r="F179" s="54">
        <v>5151.87</v>
      </c>
      <c r="G179" s="54">
        <v>13220.95</v>
      </c>
      <c r="H179" s="54">
        <v>0</v>
      </c>
      <c r="I179" t="s">
        <v>2877</v>
      </c>
      <c r="J179" s="31">
        <v>4585.5200000000004</v>
      </c>
      <c r="K179" s="36" t="s">
        <v>2676</v>
      </c>
      <c r="L179" t="s">
        <v>2502</v>
      </c>
      <c r="M179" t="s">
        <v>1897</v>
      </c>
      <c r="N179" t="s">
        <v>1341</v>
      </c>
      <c r="O179" t="s">
        <v>67</v>
      </c>
      <c r="Q179" s="23">
        <v>46265.874030509258</v>
      </c>
      <c r="R179" s="32">
        <f>IF(OR(tbl_de_massas[[#This Row],[dia_vencimento]]="", tbl_de_massas[[#This Row],[dia_vencimento]]="--"), "", WORKDAY(tbl_de_massas[[#This Row],[dia_vencimento]], 5))</f>
        <v>12</v>
      </c>
    </row>
    <row r="180" spans="1:18" x14ac:dyDescent="0.25">
      <c r="A180" t="s">
        <v>2211</v>
      </c>
      <c r="B180" t="s">
        <v>1475</v>
      </c>
      <c r="C180" s="32" t="s">
        <v>5827</v>
      </c>
      <c r="D180" t="s">
        <v>1476</v>
      </c>
      <c r="E180" s="54">
        <v>14784.02</v>
      </c>
      <c r="F180" s="54">
        <v>117.31</v>
      </c>
      <c r="G180" s="54">
        <v>19472.86</v>
      </c>
      <c r="H180" s="54">
        <v>0</v>
      </c>
      <c r="I180" t="s">
        <v>2876</v>
      </c>
      <c r="J180" s="31">
        <v>0</v>
      </c>
      <c r="K180" s="36" t="s">
        <v>1306</v>
      </c>
      <c r="L180" t="s">
        <v>2504</v>
      </c>
      <c r="M180" t="s">
        <v>1477</v>
      </c>
      <c r="N180" t="s">
        <v>1341</v>
      </c>
      <c r="O180" t="s">
        <v>67</v>
      </c>
      <c r="Q180" s="23">
        <v>46265.874098020831</v>
      </c>
      <c r="R180" s="32">
        <f>IF(OR(tbl_de_massas[[#This Row],[dia_vencimento]]="", tbl_de_massas[[#This Row],[dia_vencimento]]="--"), "", WORKDAY(tbl_de_massas[[#This Row],[dia_vencimento]], 5))</f>
        <v>12</v>
      </c>
    </row>
    <row r="181" spans="1:18" x14ac:dyDescent="0.25">
      <c r="A181" t="s">
        <v>2212</v>
      </c>
      <c r="B181" t="s">
        <v>1342</v>
      </c>
      <c r="C181" s="32" t="s">
        <v>607</v>
      </c>
      <c r="D181" t="s">
        <v>1343</v>
      </c>
      <c r="E181" s="54">
        <v>1839.67</v>
      </c>
      <c r="F181" s="54">
        <v>5161.3</v>
      </c>
      <c r="G181" s="54">
        <v>1882.1</v>
      </c>
      <c r="H181" s="54">
        <v>575.78</v>
      </c>
      <c r="I181" t="s">
        <v>2877</v>
      </c>
      <c r="J181" s="31">
        <v>5161.3</v>
      </c>
      <c r="K181" s="36" t="s">
        <v>2676</v>
      </c>
      <c r="L181" t="s">
        <v>2502</v>
      </c>
      <c r="M181" t="s">
        <v>1344</v>
      </c>
      <c r="N181" t="s">
        <v>1345</v>
      </c>
      <c r="O181" t="s">
        <v>67</v>
      </c>
      <c r="Q181" s="23">
        <v>46265.874172430558</v>
      </c>
      <c r="R181" s="32">
        <f>IF(OR(tbl_de_massas[[#This Row],[dia_vencimento]]="", tbl_de_massas[[#This Row],[dia_vencimento]]="--"), "", WORKDAY(tbl_de_massas[[#This Row],[dia_vencimento]], 5))</f>
        <v>20</v>
      </c>
    </row>
    <row r="182" spans="1:18" x14ac:dyDescent="0.25">
      <c r="A182" t="s">
        <v>2213</v>
      </c>
      <c r="B182" t="s">
        <v>1460</v>
      </c>
      <c r="C182" s="32" t="s">
        <v>611</v>
      </c>
      <c r="D182" t="s">
        <v>1458</v>
      </c>
      <c r="E182" s="54">
        <v>5549.45</v>
      </c>
      <c r="F182" s="54">
        <v>5317.59</v>
      </c>
      <c r="G182" s="54">
        <v>2871.36</v>
      </c>
      <c r="H182" s="54">
        <v>3870.86</v>
      </c>
      <c r="I182" t="s">
        <v>2877</v>
      </c>
      <c r="J182" s="31">
        <v>5317.59</v>
      </c>
      <c r="K182" s="36" t="s">
        <v>2676</v>
      </c>
      <c r="L182" t="s">
        <v>2502</v>
      </c>
      <c r="M182" t="s">
        <v>1461</v>
      </c>
      <c r="N182" t="s">
        <v>1341</v>
      </c>
      <c r="O182" t="s">
        <v>67</v>
      </c>
      <c r="Q182" s="23">
        <v>46265.874232997689</v>
      </c>
      <c r="R182" s="32">
        <f>IF(OR(tbl_de_massas[[#This Row],[dia_vencimento]]="", tbl_de_massas[[#This Row],[dia_vencimento]]="--"), "", WORKDAY(tbl_de_massas[[#This Row],[dia_vencimento]], 5))</f>
        <v>32</v>
      </c>
    </row>
    <row r="183" spans="1:18" x14ac:dyDescent="0.25">
      <c r="A183" t="s">
        <v>2214</v>
      </c>
      <c r="B183" t="s">
        <v>2014</v>
      </c>
      <c r="C183" s="32" t="s">
        <v>611</v>
      </c>
      <c r="D183" t="s">
        <v>2015</v>
      </c>
      <c r="E183" s="54">
        <v>1868.22</v>
      </c>
      <c r="F183" s="54">
        <v>5279.93</v>
      </c>
      <c r="G183" s="54">
        <v>6340.08</v>
      </c>
      <c r="H183" s="54">
        <v>3870.86</v>
      </c>
      <c r="I183" t="s">
        <v>2877</v>
      </c>
      <c r="J183" s="31">
        <v>5279.93</v>
      </c>
      <c r="K183" s="36" t="s">
        <v>2676</v>
      </c>
      <c r="L183" t="s">
        <v>2502</v>
      </c>
      <c r="M183" t="s">
        <v>2016</v>
      </c>
      <c r="N183" t="s">
        <v>1345</v>
      </c>
      <c r="O183" t="s">
        <v>67</v>
      </c>
      <c r="Q183" s="23">
        <v>46265.874414398146</v>
      </c>
      <c r="R183" s="32">
        <f>IF(OR(tbl_de_massas[[#This Row],[dia_vencimento]]="", tbl_de_massas[[#This Row],[dia_vencimento]]="--"), "", WORKDAY(tbl_de_massas[[#This Row],[dia_vencimento]], 5))</f>
        <v>32</v>
      </c>
    </row>
    <row r="184" spans="1:18" x14ac:dyDescent="0.25">
      <c r="A184" t="s">
        <v>2215</v>
      </c>
      <c r="B184" t="s">
        <v>1795</v>
      </c>
      <c r="C184" s="32" t="s">
        <v>5827</v>
      </c>
      <c r="D184" t="s">
        <v>1793</v>
      </c>
      <c r="E184" s="54">
        <v>14464.33</v>
      </c>
      <c r="F184" s="54">
        <v>5207.82</v>
      </c>
      <c r="G184" s="54">
        <v>-6.78</v>
      </c>
      <c r="H184" s="54">
        <v>0</v>
      </c>
      <c r="I184" t="s">
        <v>2877</v>
      </c>
      <c r="J184" s="31">
        <v>4585.5200000000004</v>
      </c>
      <c r="K184" s="36" t="s">
        <v>2676</v>
      </c>
      <c r="L184" t="s">
        <v>2502</v>
      </c>
      <c r="M184" t="s">
        <v>1796</v>
      </c>
      <c r="N184" t="s">
        <v>1345</v>
      </c>
      <c r="O184" t="s">
        <v>67</v>
      </c>
      <c r="Q184" s="23">
        <v>46265.874484560183</v>
      </c>
      <c r="R184" s="32">
        <f>IF(OR(tbl_de_massas[[#This Row],[dia_vencimento]]="", tbl_de_massas[[#This Row],[dia_vencimento]]="--"), "", WORKDAY(tbl_de_massas[[#This Row],[dia_vencimento]], 5))</f>
        <v>12</v>
      </c>
    </row>
    <row r="185" spans="1:18" x14ac:dyDescent="0.25">
      <c r="A185" t="s">
        <v>2216</v>
      </c>
      <c r="B185" t="s">
        <v>1910</v>
      </c>
      <c r="C185" s="32" t="s">
        <v>5827</v>
      </c>
      <c r="D185" t="s">
        <v>1911</v>
      </c>
      <c r="E185" s="54">
        <v>566.49</v>
      </c>
      <c r="F185" s="54">
        <v>4869.21</v>
      </c>
      <c r="G185" s="54">
        <v>6197.84</v>
      </c>
      <c r="H185" s="54">
        <v>283.69</v>
      </c>
      <c r="I185" t="s">
        <v>2877</v>
      </c>
      <c r="J185" s="31">
        <v>4869.21</v>
      </c>
      <c r="K185" s="36" t="s">
        <v>2676</v>
      </c>
      <c r="L185" t="s">
        <v>2502</v>
      </c>
      <c r="M185" t="s">
        <v>1912</v>
      </c>
      <c r="N185" t="s">
        <v>1341</v>
      </c>
      <c r="O185" t="s">
        <v>67</v>
      </c>
      <c r="Q185" s="23">
        <v>46265.874572245368</v>
      </c>
      <c r="R185" s="32">
        <f>IF(OR(tbl_de_massas[[#This Row],[dia_vencimento]]="", tbl_de_massas[[#This Row],[dia_vencimento]]="--"), "", WORKDAY(tbl_de_massas[[#This Row],[dia_vencimento]], 5))</f>
        <v>12</v>
      </c>
    </row>
    <row r="186" spans="1:18" x14ac:dyDescent="0.25">
      <c r="A186" t="s">
        <v>2217</v>
      </c>
      <c r="B186" t="s">
        <v>1723</v>
      </c>
      <c r="C186" s="32" t="s">
        <v>5827</v>
      </c>
      <c r="D186" t="s">
        <v>1721</v>
      </c>
      <c r="E186" s="54">
        <v>3146.26</v>
      </c>
      <c r="F186" s="54">
        <v>0</v>
      </c>
      <c r="G186" s="54">
        <v>19562.439999999999</v>
      </c>
      <c r="H186" s="54">
        <v>0</v>
      </c>
      <c r="I186" t="s">
        <v>2876</v>
      </c>
      <c r="J186" s="31">
        <v>0</v>
      </c>
      <c r="K186" s="36" t="s">
        <v>1306</v>
      </c>
      <c r="L186" t="s">
        <v>2504</v>
      </c>
      <c r="M186" t="s">
        <v>1724</v>
      </c>
      <c r="N186" t="s">
        <v>1341</v>
      </c>
      <c r="O186" t="s">
        <v>67</v>
      </c>
      <c r="Q186" s="23">
        <v>46265.874654282408</v>
      </c>
      <c r="R186" s="32">
        <f>IF(OR(tbl_de_massas[[#This Row],[dia_vencimento]]="", tbl_de_massas[[#This Row],[dia_vencimento]]="--"), "", WORKDAY(tbl_de_massas[[#This Row],[dia_vencimento]], 5))</f>
        <v>12</v>
      </c>
    </row>
    <row r="187" spans="1:18" x14ac:dyDescent="0.25">
      <c r="A187" t="s">
        <v>2218</v>
      </c>
      <c r="B187" t="s">
        <v>1905</v>
      </c>
      <c r="C187" s="32" t="s">
        <v>611</v>
      </c>
      <c r="D187" t="s">
        <v>1903</v>
      </c>
      <c r="E187" s="54">
        <v>6259.59</v>
      </c>
      <c r="F187" s="54">
        <v>5000.2299999999996</v>
      </c>
      <c r="G187" s="54">
        <v>12816.69</v>
      </c>
      <c r="H187" s="54">
        <v>3870.86</v>
      </c>
      <c r="I187" t="s">
        <v>2877</v>
      </c>
      <c r="J187" s="31">
        <v>5000.2299999999996</v>
      </c>
      <c r="K187" s="36" t="s">
        <v>2676</v>
      </c>
      <c r="L187" t="s">
        <v>2502</v>
      </c>
      <c r="M187" t="s">
        <v>1906</v>
      </c>
      <c r="N187" t="s">
        <v>1341</v>
      </c>
      <c r="O187" t="s">
        <v>67</v>
      </c>
      <c r="Q187" s="23">
        <v>46265.874700925924</v>
      </c>
      <c r="R187" s="32">
        <f>IF(OR(tbl_de_massas[[#This Row],[dia_vencimento]]="", tbl_de_massas[[#This Row],[dia_vencimento]]="--"), "", WORKDAY(tbl_de_massas[[#This Row],[dia_vencimento]], 5))</f>
        <v>32</v>
      </c>
    </row>
    <row r="188" spans="1:18" x14ac:dyDescent="0.25">
      <c r="A188" t="s">
        <v>2219</v>
      </c>
      <c r="B188" t="s">
        <v>1530</v>
      </c>
      <c r="C188" s="32" t="s">
        <v>605</v>
      </c>
      <c r="D188" t="s">
        <v>1531</v>
      </c>
      <c r="E188" s="54">
        <v>2000</v>
      </c>
      <c r="F188" s="54">
        <v>1055.05</v>
      </c>
      <c r="G188" s="54">
        <v>3944.95</v>
      </c>
      <c r="H188" s="54">
        <v>0</v>
      </c>
      <c r="I188" t="s">
        <v>2876</v>
      </c>
      <c r="J188" s="31">
        <v>0</v>
      </c>
      <c r="K188" s="36" t="s">
        <v>1306</v>
      </c>
      <c r="L188" t="s">
        <v>2504</v>
      </c>
      <c r="M188" t="s">
        <v>1532</v>
      </c>
      <c r="N188" t="s">
        <v>1533</v>
      </c>
      <c r="O188" t="s">
        <v>67</v>
      </c>
      <c r="Q188" s="23">
        <v>46266.010815474539</v>
      </c>
      <c r="R188" s="32">
        <f>IF(OR(tbl_de_massas[[#This Row],[dia_vencimento]]="", tbl_de_massas[[#This Row],[dia_vencimento]]="--"), "", WORKDAY(tbl_de_massas[[#This Row],[dia_vencimento]], 5))</f>
        <v>17</v>
      </c>
    </row>
    <row r="189" spans="1:18" x14ac:dyDescent="0.25">
      <c r="A189" t="s">
        <v>2220</v>
      </c>
      <c r="B189" t="s">
        <v>1669</v>
      </c>
      <c r="C189" s="32" t="s">
        <v>605</v>
      </c>
      <c r="D189" t="s">
        <v>1670</v>
      </c>
      <c r="E189" s="54">
        <v>2000</v>
      </c>
      <c r="F189" s="54">
        <v>1055.05</v>
      </c>
      <c r="G189" s="54">
        <v>3944.95</v>
      </c>
      <c r="H189" s="54">
        <v>0</v>
      </c>
      <c r="I189" t="s">
        <v>2881</v>
      </c>
      <c r="J189" s="31">
        <v>1055.05</v>
      </c>
      <c r="K189" s="36" t="s">
        <v>1306</v>
      </c>
      <c r="L189" t="s">
        <v>2504</v>
      </c>
      <c r="M189" t="s">
        <v>1671</v>
      </c>
      <c r="N189" t="s">
        <v>2675</v>
      </c>
      <c r="O189" t="s">
        <v>67</v>
      </c>
      <c r="Q189" s="23">
        <v>46272.518815370371</v>
      </c>
      <c r="R189" s="32">
        <f>IF(OR(tbl_de_massas[[#This Row],[dia_vencimento]]="", tbl_de_massas[[#This Row],[dia_vencimento]]="--"), "", WORKDAY(tbl_de_massas[[#This Row],[dia_vencimento]], 5))</f>
        <v>17</v>
      </c>
    </row>
    <row r="190" spans="1:18" x14ac:dyDescent="0.25">
      <c r="A190" t="s">
        <v>2221</v>
      </c>
      <c r="B190" t="s">
        <v>1898</v>
      </c>
      <c r="C190" s="32" t="s">
        <v>605</v>
      </c>
      <c r="D190" t="s">
        <v>1899</v>
      </c>
      <c r="E190" s="54">
        <v>2000</v>
      </c>
      <c r="F190" s="54">
        <v>1055.05</v>
      </c>
      <c r="G190" s="54">
        <v>3944.95</v>
      </c>
      <c r="H190" s="54">
        <v>0</v>
      </c>
      <c r="I190" t="s">
        <v>2881</v>
      </c>
      <c r="J190" s="31">
        <v>1055.05</v>
      </c>
      <c r="K190" s="36" t="s">
        <v>1306</v>
      </c>
      <c r="L190" t="s">
        <v>2504</v>
      </c>
      <c r="M190" t="s">
        <v>1900</v>
      </c>
      <c r="N190" t="s">
        <v>1901</v>
      </c>
      <c r="O190" t="s">
        <v>67</v>
      </c>
      <c r="Q190" s="23">
        <v>46272.519735844908</v>
      </c>
      <c r="R190" s="32">
        <f>IF(OR(tbl_de_massas[[#This Row],[dia_vencimento]]="", tbl_de_massas[[#This Row],[dia_vencimento]]="--"), "", WORKDAY(tbl_de_massas[[#This Row],[dia_vencimento]], 5))</f>
        <v>17</v>
      </c>
    </row>
    <row r="191" spans="1:18" x14ac:dyDescent="0.25">
      <c r="A191" t="s">
        <v>2222</v>
      </c>
      <c r="B191" t="s">
        <v>1565</v>
      </c>
      <c r="C191" s="32" t="s">
        <v>605</v>
      </c>
      <c r="D191" t="s">
        <v>1566</v>
      </c>
      <c r="E191" s="54">
        <v>2000</v>
      </c>
      <c r="F191" s="54">
        <v>1055.05</v>
      </c>
      <c r="G191" s="54">
        <v>3944.95</v>
      </c>
      <c r="H191" s="54">
        <v>0</v>
      </c>
      <c r="I191" t="s">
        <v>2881</v>
      </c>
      <c r="J191" s="31">
        <v>1055.05</v>
      </c>
      <c r="K191" s="36" t="s">
        <v>1306</v>
      </c>
      <c r="L191" t="s">
        <v>2504</v>
      </c>
      <c r="M191" t="s">
        <v>1567</v>
      </c>
      <c r="N191" t="s">
        <v>1568</v>
      </c>
      <c r="O191" t="s">
        <v>67</v>
      </c>
      <c r="Q191" s="23">
        <v>46272.522888356485</v>
      </c>
      <c r="R191" s="32">
        <f>IF(OR(tbl_de_massas[[#This Row],[dia_vencimento]]="", tbl_de_massas[[#This Row],[dia_vencimento]]="--"), "", WORKDAY(tbl_de_massas[[#This Row],[dia_vencimento]], 5))</f>
        <v>17</v>
      </c>
    </row>
    <row r="192" spans="1:18" x14ac:dyDescent="0.25">
      <c r="A192" t="s">
        <v>2223</v>
      </c>
      <c r="B192" t="s">
        <v>1542</v>
      </c>
      <c r="C192" s="32" t="s">
        <v>605</v>
      </c>
      <c r="D192" t="s">
        <v>1543</v>
      </c>
      <c r="E192" s="54">
        <v>2000</v>
      </c>
      <c r="F192" s="54">
        <v>1055.05</v>
      </c>
      <c r="G192" s="54">
        <v>3944.95</v>
      </c>
      <c r="H192" s="54">
        <v>0</v>
      </c>
      <c r="I192" t="s">
        <v>2881</v>
      </c>
      <c r="J192" s="31">
        <v>1055.05</v>
      </c>
      <c r="K192" s="36" t="s">
        <v>1306</v>
      </c>
      <c r="L192" t="s">
        <v>2504</v>
      </c>
      <c r="M192" t="s">
        <v>1544</v>
      </c>
      <c r="N192" t="s">
        <v>1545</v>
      </c>
      <c r="O192" t="s">
        <v>67</v>
      </c>
      <c r="Q192" s="23">
        <v>46272.523915081016</v>
      </c>
      <c r="R192" s="32">
        <f>IF(OR(tbl_de_massas[[#This Row],[dia_vencimento]]="", tbl_de_massas[[#This Row],[dia_vencimento]]="--"), "", WORKDAY(tbl_de_massas[[#This Row],[dia_vencimento]], 5))</f>
        <v>17</v>
      </c>
    </row>
    <row r="193" spans="1:18" x14ac:dyDescent="0.25">
      <c r="A193" t="s">
        <v>2224</v>
      </c>
      <c r="B193" t="s">
        <v>2098</v>
      </c>
      <c r="C193" s="32" t="s">
        <v>605</v>
      </c>
      <c r="D193" t="s">
        <v>2099</v>
      </c>
      <c r="E193" s="54">
        <v>2000</v>
      </c>
      <c r="F193" s="54">
        <v>1055.05</v>
      </c>
      <c r="G193" s="54">
        <v>3944.95</v>
      </c>
      <c r="H193" s="54">
        <v>0</v>
      </c>
      <c r="I193" t="s">
        <v>2881</v>
      </c>
      <c r="J193" s="31">
        <v>1055.05</v>
      </c>
      <c r="K193" s="36" t="s">
        <v>1306</v>
      </c>
      <c r="L193" t="s">
        <v>2504</v>
      </c>
      <c r="M193" t="s">
        <v>2100</v>
      </c>
      <c r="N193" t="s">
        <v>2101</v>
      </c>
      <c r="O193" t="s">
        <v>67</v>
      </c>
      <c r="Q193" s="23">
        <v>46272.525327083335</v>
      </c>
      <c r="R193" s="32">
        <f>IF(OR(tbl_de_massas[[#This Row],[dia_vencimento]]="", tbl_de_massas[[#This Row],[dia_vencimento]]="--"), "", WORKDAY(tbl_de_massas[[#This Row],[dia_vencimento]], 5))</f>
        <v>17</v>
      </c>
    </row>
    <row r="194" spans="1:18" x14ac:dyDescent="0.25">
      <c r="A194" t="s">
        <v>2225</v>
      </c>
      <c r="B194" t="s">
        <v>1712</v>
      </c>
      <c r="C194" s="32" t="s">
        <v>605</v>
      </c>
      <c r="D194" t="s">
        <v>1713</v>
      </c>
      <c r="E194" s="54">
        <v>2000</v>
      </c>
      <c r="F194" s="54">
        <v>1055.05</v>
      </c>
      <c r="G194" s="54">
        <v>3944.95</v>
      </c>
      <c r="H194" s="54">
        <v>0</v>
      </c>
      <c r="I194" t="s">
        <v>2881</v>
      </c>
      <c r="J194" s="31">
        <v>1055.05</v>
      </c>
      <c r="K194" s="36" t="s">
        <v>1306</v>
      </c>
      <c r="L194" t="s">
        <v>2504</v>
      </c>
      <c r="M194" t="s">
        <v>1714</v>
      </c>
      <c r="N194" t="s">
        <v>1715</v>
      </c>
      <c r="O194" t="s">
        <v>67</v>
      </c>
      <c r="Q194" s="23">
        <v>46272.52654914352</v>
      </c>
      <c r="R194" s="32">
        <f>IF(OR(tbl_de_massas[[#This Row],[dia_vencimento]]="", tbl_de_massas[[#This Row],[dia_vencimento]]="--"), "", WORKDAY(tbl_de_massas[[#This Row],[dia_vencimento]], 5))</f>
        <v>17</v>
      </c>
    </row>
    <row r="195" spans="1:18" x14ac:dyDescent="0.25">
      <c r="A195" t="s">
        <v>2226</v>
      </c>
      <c r="B195" t="s">
        <v>1577</v>
      </c>
      <c r="C195" s="32" t="s">
        <v>605</v>
      </c>
      <c r="D195" t="s">
        <v>1578</v>
      </c>
      <c r="E195" s="54">
        <v>2000</v>
      </c>
      <c r="F195" s="54">
        <v>1055.05</v>
      </c>
      <c r="G195" s="54">
        <v>3944.95</v>
      </c>
      <c r="H195" s="54">
        <v>0</v>
      </c>
      <c r="I195" t="s">
        <v>2881</v>
      </c>
      <c r="J195" s="31">
        <v>1055.05</v>
      </c>
      <c r="K195" s="36" t="s">
        <v>1306</v>
      </c>
      <c r="L195" t="s">
        <v>2504</v>
      </c>
      <c r="M195" t="s">
        <v>1579</v>
      </c>
      <c r="N195" t="s">
        <v>1580</v>
      </c>
      <c r="O195" t="s">
        <v>67</v>
      </c>
      <c r="Q195" s="23">
        <v>46272.529768668981</v>
      </c>
      <c r="R195" s="32">
        <f>IF(OR(tbl_de_massas[[#This Row],[dia_vencimento]]="", tbl_de_massas[[#This Row],[dia_vencimento]]="--"), "", WORKDAY(tbl_de_massas[[#This Row],[dia_vencimento]], 5))</f>
        <v>17</v>
      </c>
    </row>
    <row r="196" spans="1:18" x14ac:dyDescent="0.25">
      <c r="A196" t="s">
        <v>2227</v>
      </c>
      <c r="B196" t="s">
        <v>1450</v>
      </c>
      <c r="C196" s="32" t="s">
        <v>605</v>
      </c>
      <c r="D196" t="s">
        <v>1451</v>
      </c>
      <c r="E196" s="54">
        <v>2000</v>
      </c>
      <c r="F196" s="54">
        <v>1055.05</v>
      </c>
      <c r="G196" s="54">
        <v>3944.95</v>
      </c>
      <c r="H196" s="54">
        <v>0</v>
      </c>
      <c r="I196" t="s">
        <v>2881</v>
      </c>
      <c r="J196" s="31">
        <v>1055.05</v>
      </c>
      <c r="K196" s="36" t="s">
        <v>1306</v>
      </c>
      <c r="L196" t="s">
        <v>2504</v>
      </c>
      <c r="M196" t="s">
        <v>1452</v>
      </c>
      <c r="N196" t="s">
        <v>1453</v>
      </c>
      <c r="O196" t="s">
        <v>67</v>
      </c>
      <c r="Q196" s="23">
        <v>46272.531179363425</v>
      </c>
      <c r="R196" s="32">
        <f>IF(OR(tbl_de_massas[[#This Row],[dia_vencimento]]="", tbl_de_massas[[#This Row],[dia_vencimento]]="--"), "", WORKDAY(tbl_de_massas[[#This Row],[dia_vencimento]], 5))</f>
        <v>17</v>
      </c>
    </row>
    <row r="197" spans="1:18" x14ac:dyDescent="0.25">
      <c r="A197" t="s">
        <v>2228</v>
      </c>
      <c r="B197" t="s">
        <v>1518</v>
      </c>
      <c r="C197" s="32" t="s">
        <v>605</v>
      </c>
      <c r="D197" t="s">
        <v>1519</v>
      </c>
      <c r="E197" s="54">
        <v>2000</v>
      </c>
      <c r="F197" s="54">
        <v>1055.05</v>
      </c>
      <c r="G197" s="54">
        <v>3944.95</v>
      </c>
      <c r="H197" s="54">
        <v>0</v>
      </c>
      <c r="I197" t="s">
        <v>2881</v>
      </c>
      <c r="J197" s="31">
        <v>1055.05</v>
      </c>
      <c r="K197" s="36" t="s">
        <v>1306</v>
      </c>
      <c r="L197" t="s">
        <v>2504</v>
      </c>
      <c r="M197" t="s">
        <v>1520</v>
      </c>
      <c r="N197" t="s">
        <v>1521</v>
      </c>
      <c r="O197" t="s">
        <v>67</v>
      </c>
      <c r="Q197" s="23">
        <v>46272.532392349538</v>
      </c>
      <c r="R197" s="32">
        <f>IF(OR(tbl_de_massas[[#This Row],[dia_vencimento]]="", tbl_de_massas[[#This Row],[dia_vencimento]]="--"), "", WORKDAY(tbl_de_massas[[#This Row],[dia_vencimento]], 5))</f>
        <v>17</v>
      </c>
    </row>
    <row r="198" spans="1:18" x14ac:dyDescent="0.25">
      <c r="A198" t="s">
        <v>2229</v>
      </c>
      <c r="B198" t="s">
        <v>1800</v>
      </c>
      <c r="C198" s="32" t="s">
        <v>605</v>
      </c>
      <c r="D198" t="s">
        <v>1801</v>
      </c>
      <c r="E198" s="54">
        <v>2000</v>
      </c>
      <c r="F198" s="54">
        <v>1055.05</v>
      </c>
      <c r="G198" s="54">
        <v>3944.95</v>
      </c>
      <c r="H198" s="54">
        <v>0</v>
      </c>
      <c r="I198" t="s">
        <v>2881</v>
      </c>
      <c r="J198" s="31">
        <v>1055.05</v>
      </c>
      <c r="K198" s="36" t="s">
        <v>1306</v>
      </c>
      <c r="L198" t="s">
        <v>2504</v>
      </c>
      <c r="M198" t="s">
        <v>1802</v>
      </c>
      <c r="N198" t="s">
        <v>1803</v>
      </c>
      <c r="O198" t="s">
        <v>67</v>
      </c>
      <c r="Q198" s="23">
        <v>46272.54458483796</v>
      </c>
      <c r="R198" s="32">
        <f>IF(OR(tbl_de_massas[[#This Row],[dia_vencimento]]="", tbl_de_massas[[#This Row],[dia_vencimento]]="--"), "", WORKDAY(tbl_de_massas[[#This Row],[dia_vencimento]], 5))</f>
        <v>17</v>
      </c>
    </row>
    <row r="199" spans="1:18" x14ac:dyDescent="0.25">
      <c r="A199" t="s">
        <v>2230</v>
      </c>
      <c r="B199" t="s">
        <v>1366</v>
      </c>
      <c r="C199" s="32" t="s">
        <v>605</v>
      </c>
      <c r="D199" t="s">
        <v>1367</v>
      </c>
      <c r="E199" s="54">
        <v>2000</v>
      </c>
      <c r="F199" s="54">
        <v>1055.05</v>
      </c>
      <c r="G199" s="54">
        <v>3944.95</v>
      </c>
      <c r="H199" s="54">
        <v>0</v>
      </c>
      <c r="I199" t="s">
        <v>2881</v>
      </c>
      <c r="J199" s="31">
        <v>1055.05</v>
      </c>
      <c r="K199" s="36" t="s">
        <v>1306</v>
      </c>
      <c r="L199" t="s">
        <v>2504</v>
      </c>
      <c r="M199" t="s">
        <v>1368</v>
      </c>
      <c r="N199" t="s">
        <v>1369</v>
      </c>
      <c r="O199" t="s">
        <v>67</v>
      </c>
      <c r="Q199" s="23">
        <v>46272.553600127314</v>
      </c>
      <c r="R199" s="32">
        <f>IF(OR(tbl_de_massas[[#This Row],[dia_vencimento]]="", tbl_de_massas[[#This Row],[dia_vencimento]]="--"), "", WORKDAY(tbl_de_massas[[#This Row],[dia_vencimento]], 5))</f>
        <v>17</v>
      </c>
    </row>
    <row r="200" spans="1:18" x14ac:dyDescent="0.25">
      <c r="A200" t="s">
        <v>2231</v>
      </c>
      <c r="B200" t="s">
        <v>1833</v>
      </c>
      <c r="C200" s="32" t="s">
        <v>605</v>
      </c>
      <c r="D200" t="s">
        <v>1834</v>
      </c>
      <c r="E200" s="54">
        <v>2000</v>
      </c>
      <c r="F200" s="54">
        <v>1055.05</v>
      </c>
      <c r="G200" s="54">
        <v>3944.95</v>
      </c>
      <c r="H200" s="54">
        <v>0</v>
      </c>
      <c r="I200" t="s">
        <v>2881</v>
      </c>
      <c r="J200" s="31">
        <v>1055.05</v>
      </c>
      <c r="K200" s="36" t="s">
        <v>1306</v>
      </c>
      <c r="L200" t="s">
        <v>2504</v>
      </c>
      <c r="M200" t="s">
        <v>1835</v>
      </c>
      <c r="N200" t="s">
        <v>1836</v>
      </c>
      <c r="O200" t="s">
        <v>67</v>
      </c>
      <c r="Q200" s="23">
        <v>46272.556713078702</v>
      </c>
      <c r="R200" s="32">
        <f>IF(OR(tbl_de_massas[[#This Row],[dia_vencimento]]="", tbl_de_massas[[#This Row],[dia_vencimento]]="--"), "", WORKDAY(tbl_de_massas[[#This Row],[dia_vencimento]], 5))</f>
        <v>17</v>
      </c>
    </row>
    <row r="201" spans="1:18" x14ac:dyDescent="0.25">
      <c r="A201" t="s">
        <v>2232</v>
      </c>
      <c r="B201" t="s">
        <v>1735</v>
      </c>
      <c r="C201" s="32" t="s">
        <v>605</v>
      </c>
      <c r="D201" t="s">
        <v>1736</v>
      </c>
      <c r="E201" s="54">
        <v>2000</v>
      </c>
      <c r="F201" s="54">
        <v>1055.05</v>
      </c>
      <c r="G201" s="54">
        <v>3944.95</v>
      </c>
      <c r="H201" s="54">
        <v>0</v>
      </c>
      <c r="I201" t="s">
        <v>2881</v>
      </c>
      <c r="J201" s="31">
        <v>1055.05</v>
      </c>
      <c r="K201" s="36" t="s">
        <v>1306</v>
      </c>
      <c r="L201" t="s">
        <v>2504</v>
      </c>
      <c r="M201" t="s">
        <v>1737</v>
      </c>
      <c r="N201" t="s">
        <v>1738</v>
      </c>
      <c r="O201" t="s">
        <v>67</v>
      </c>
      <c r="Q201" s="23">
        <v>46272.557428182874</v>
      </c>
      <c r="R201" s="32">
        <f>IF(OR(tbl_de_massas[[#This Row],[dia_vencimento]]="", tbl_de_massas[[#This Row],[dia_vencimento]]="--"), "", WORKDAY(tbl_de_massas[[#This Row],[dia_vencimento]], 5))</f>
        <v>17</v>
      </c>
    </row>
    <row r="202" spans="1:18" x14ac:dyDescent="0.25">
      <c r="A202" t="s">
        <v>2233</v>
      </c>
      <c r="B202" t="s">
        <v>1695</v>
      </c>
      <c r="C202" s="32" t="s">
        <v>605</v>
      </c>
      <c r="D202" t="s">
        <v>1696</v>
      </c>
      <c r="E202" s="54">
        <v>2000</v>
      </c>
      <c r="F202" s="54">
        <v>1055.05</v>
      </c>
      <c r="G202" s="54">
        <v>3944.95</v>
      </c>
      <c r="H202" s="54">
        <v>0</v>
      </c>
      <c r="I202" t="s">
        <v>2881</v>
      </c>
      <c r="J202" s="31">
        <v>1055.05</v>
      </c>
      <c r="K202" s="36" t="s">
        <v>1306</v>
      </c>
      <c r="L202" t="s">
        <v>2504</v>
      </c>
      <c r="M202" t="s">
        <v>1697</v>
      </c>
      <c r="N202" t="s">
        <v>1643</v>
      </c>
      <c r="O202" t="s">
        <v>67</v>
      </c>
      <c r="Q202" s="23">
        <v>46272.587850706019</v>
      </c>
      <c r="R202" s="32">
        <f>IF(OR(tbl_de_massas[[#This Row],[dia_vencimento]]="", tbl_de_massas[[#This Row],[dia_vencimento]]="--"), "", WORKDAY(tbl_de_massas[[#This Row],[dia_vencimento]], 5))</f>
        <v>17</v>
      </c>
    </row>
    <row r="203" spans="1:18" x14ac:dyDescent="0.25">
      <c r="A203" t="s">
        <v>2234</v>
      </c>
      <c r="B203" t="s">
        <v>2054</v>
      </c>
      <c r="C203" s="32" t="s">
        <v>605</v>
      </c>
      <c r="D203" t="s">
        <v>2055</v>
      </c>
      <c r="E203" s="54">
        <v>2000</v>
      </c>
      <c r="F203" s="54">
        <v>1055.05</v>
      </c>
      <c r="G203" s="54">
        <v>3944.95</v>
      </c>
      <c r="H203" s="54">
        <v>0</v>
      </c>
      <c r="I203" t="s">
        <v>2881</v>
      </c>
      <c r="J203" s="31">
        <v>1055.05</v>
      </c>
      <c r="K203" s="36" t="s">
        <v>1306</v>
      </c>
      <c r="L203" t="s">
        <v>2504</v>
      </c>
      <c r="M203" t="s">
        <v>2056</v>
      </c>
      <c r="N203" t="s">
        <v>2057</v>
      </c>
      <c r="O203" t="s">
        <v>67</v>
      </c>
      <c r="Q203" s="23">
        <v>46272.609908946761</v>
      </c>
      <c r="R203" s="32">
        <f>IF(OR(tbl_de_massas[[#This Row],[dia_vencimento]]="", tbl_de_massas[[#This Row],[dia_vencimento]]="--"), "", WORKDAY(tbl_de_massas[[#This Row],[dia_vencimento]], 5))</f>
        <v>17</v>
      </c>
    </row>
    <row r="204" spans="1:18" x14ac:dyDescent="0.25">
      <c r="A204" t="s">
        <v>2235</v>
      </c>
      <c r="B204" t="s">
        <v>1784</v>
      </c>
      <c r="C204" s="32" t="s">
        <v>605</v>
      </c>
      <c r="D204" t="s">
        <v>1785</v>
      </c>
      <c r="E204" s="54">
        <v>2000</v>
      </c>
      <c r="F204" s="54">
        <v>1055.05</v>
      </c>
      <c r="G204" s="54">
        <v>3944.95</v>
      </c>
      <c r="H204" s="54">
        <v>0</v>
      </c>
      <c r="I204" t="s">
        <v>2881</v>
      </c>
      <c r="J204" s="31">
        <v>1055.05</v>
      </c>
      <c r="K204" s="36" t="s">
        <v>1306</v>
      </c>
      <c r="L204" t="s">
        <v>2504</v>
      </c>
      <c r="M204" t="s">
        <v>1786</v>
      </c>
      <c r="N204" t="s">
        <v>1787</v>
      </c>
      <c r="O204" t="s">
        <v>67</v>
      </c>
      <c r="Q204" s="23">
        <v>46272.613215127312</v>
      </c>
      <c r="R204" s="32">
        <f>IF(OR(tbl_de_massas[[#This Row],[dia_vencimento]]="", tbl_de_massas[[#This Row],[dia_vencimento]]="--"), "", WORKDAY(tbl_de_massas[[#This Row],[dia_vencimento]], 5))</f>
        <v>17</v>
      </c>
    </row>
    <row r="205" spans="1:18" x14ac:dyDescent="0.25">
      <c r="A205" t="s">
        <v>2236</v>
      </c>
      <c r="B205" t="s">
        <v>1837</v>
      </c>
      <c r="C205" s="32" t="s">
        <v>605</v>
      </c>
      <c r="D205" t="s">
        <v>1838</v>
      </c>
      <c r="E205" s="54">
        <v>2000</v>
      </c>
      <c r="F205" s="54">
        <v>1055.05</v>
      </c>
      <c r="G205" s="54">
        <v>3944.95</v>
      </c>
      <c r="H205" s="54">
        <v>0</v>
      </c>
      <c r="I205" t="s">
        <v>2881</v>
      </c>
      <c r="J205" s="31">
        <v>1055.05</v>
      </c>
      <c r="K205" s="36" t="s">
        <v>1306</v>
      </c>
      <c r="L205" t="s">
        <v>2504</v>
      </c>
      <c r="M205" t="s">
        <v>1839</v>
      </c>
      <c r="N205" t="s">
        <v>550</v>
      </c>
      <c r="O205" t="s">
        <v>67</v>
      </c>
      <c r="Q205" s="23">
        <v>46272.64908116898</v>
      </c>
      <c r="R205" s="32">
        <f>IF(OR(tbl_de_massas[[#This Row],[dia_vencimento]]="", tbl_de_massas[[#This Row],[dia_vencimento]]="--"), "", WORKDAY(tbl_de_massas[[#This Row],[dia_vencimento]], 5))</f>
        <v>17</v>
      </c>
    </row>
    <row r="206" spans="1:18" x14ac:dyDescent="0.25">
      <c r="A206" t="s">
        <v>2237</v>
      </c>
      <c r="B206" t="s">
        <v>1665</v>
      </c>
      <c r="C206" s="32" t="s">
        <v>605</v>
      </c>
      <c r="D206" t="s">
        <v>1666</v>
      </c>
      <c r="E206" s="54">
        <v>2000</v>
      </c>
      <c r="F206" s="54">
        <v>1055.05</v>
      </c>
      <c r="G206" s="54">
        <v>3944.95</v>
      </c>
      <c r="H206" s="54">
        <v>0</v>
      </c>
      <c r="I206" t="s">
        <v>2881</v>
      </c>
      <c r="J206" s="31">
        <v>1055.05</v>
      </c>
      <c r="K206" s="36" t="s">
        <v>1306</v>
      </c>
      <c r="L206" t="s">
        <v>2504</v>
      </c>
      <c r="M206" t="s">
        <v>1667</v>
      </c>
      <c r="N206" t="s">
        <v>1668</v>
      </c>
      <c r="O206" t="s">
        <v>67</v>
      </c>
      <c r="Q206" s="23">
        <v>46272.677135370373</v>
      </c>
      <c r="R206" s="32">
        <f>IF(OR(tbl_de_massas[[#This Row],[dia_vencimento]]="", tbl_de_massas[[#This Row],[dia_vencimento]]="--"), "", WORKDAY(tbl_de_massas[[#This Row],[dia_vencimento]], 5))</f>
        <v>17</v>
      </c>
    </row>
    <row r="207" spans="1:18" x14ac:dyDescent="0.25">
      <c r="A207" t="s">
        <v>2238</v>
      </c>
      <c r="B207" t="s">
        <v>1987</v>
      </c>
      <c r="C207" s="32" t="s">
        <v>605</v>
      </c>
      <c r="D207" t="s">
        <v>1988</v>
      </c>
      <c r="E207" s="54">
        <v>2000</v>
      </c>
      <c r="F207" s="54">
        <v>1055.05</v>
      </c>
      <c r="G207" s="54">
        <v>3944.95</v>
      </c>
      <c r="H207" s="54">
        <v>0</v>
      </c>
      <c r="I207" t="s">
        <v>2881</v>
      </c>
      <c r="J207" s="31">
        <v>1055.05</v>
      </c>
      <c r="K207" s="36" t="s">
        <v>1306</v>
      </c>
      <c r="L207" t="s">
        <v>2504</v>
      </c>
      <c r="M207" t="s">
        <v>1989</v>
      </c>
      <c r="N207" t="s">
        <v>1990</v>
      </c>
      <c r="O207" t="s">
        <v>67</v>
      </c>
      <c r="Q207" s="23">
        <v>46272.678136273149</v>
      </c>
      <c r="R207" s="32">
        <f>IF(OR(tbl_de_massas[[#This Row],[dia_vencimento]]="", tbl_de_massas[[#This Row],[dia_vencimento]]="--"), "", WORKDAY(tbl_de_massas[[#This Row],[dia_vencimento]], 5))</f>
        <v>17</v>
      </c>
    </row>
    <row r="208" spans="1:18" x14ac:dyDescent="0.25">
      <c r="A208" t="s">
        <v>2239</v>
      </c>
      <c r="B208" t="s">
        <v>1979</v>
      </c>
      <c r="C208" s="32" t="s">
        <v>605</v>
      </c>
      <c r="D208" t="s">
        <v>1980</v>
      </c>
      <c r="E208" s="54">
        <v>2000</v>
      </c>
      <c r="F208" s="54">
        <v>1055.05</v>
      </c>
      <c r="G208" s="54">
        <v>3944.95</v>
      </c>
      <c r="H208" s="54">
        <v>0</v>
      </c>
      <c r="I208" t="s">
        <v>2881</v>
      </c>
      <c r="J208" s="31">
        <v>1055.05</v>
      </c>
      <c r="K208" s="36" t="s">
        <v>1306</v>
      </c>
      <c r="L208" t="s">
        <v>2504</v>
      </c>
      <c r="M208" t="s">
        <v>1981</v>
      </c>
      <c r="N208" t="s">
        <v>1982</v>
      </c>
      <c r="O208" t="s">
        <v>67</v>
      </c>
      <c r="Q208" s="23">
        <v>46272.679381967595</v>
      </c>
      <c r="R208" s="32">
        <f>IF(OR(tbl_de_massas[[#This Row],[dia_vencimento]]="", tbl_de_massas[[#This Row],[dia_vencimento]]="--"), "", WORKDAY(tbl_de_massas[[#This Row],[dia_vencimento]], 5))</f>
        <v>17</v>
      </c>
    </row>
    <row r="209" spans="1:18" x14ac:dyDescent="0.25">
      <c r="A209" t="s">
        <v>2240</v>
      </c>
      <c r="B209" t="s">
        <v>1994</v>
      </c>
      <c r="C209" s="32" t="s">
        <v>605</v>
      </c>
      <c r="D209" t="s">
        <v>1995</v>
      </c>
      <c r="E209" s="54">
        <v>2000</v>
      </c>
      <c r="F209" s="54">
        <v>1055.05</v>
      </c>
      <c r="G209" s="54">
        <v>3944.95</v>
      </c>
      <c r="H209" s="54">
        <v>0</v>
      </c>
      <c r="I209" t="s">
        <v>2881</v>
      </c>
      <c r="J209" s="31">
        <v>1055.05</v>
      </c>
      <c r="K209" s="36" t="s">
        <v>1306</v>
      </c>
      <c r="L209" t="s">
        <v>2504</v>
      </c>
      <c r="M209" t="s">
        <v>1996</v>
      </c>
      <c r="N209" t="s">
        <v>1997</v>
      </c>
      <c r="O209" t="s">
        <v>67</v>
      </c>
      <c r="Q209" s="23">
        <v>46272.679894479166</v>
      </c>
      <c r="R209" s="32">
        <f>IF(OR(tbl_de_massas[[#This Row],[dia_vencimento]]="", tbl_de_massas[[#This Row],[dia_vencimento]]="--"), "", WORKDAY(tbl_de_massas[[#This Row],[dia_vencimento]], 5))</f>
        <v>17</v>
      </c>
    </row>
    <row r="210" spans="1:18" x14ac:dyDescent="0.25">
      <c r="A210" t="s">
        <v>2241</v>
      </c>
      <c r="B210" t="s">
        <v>1546</v>
      </c>
      <c r="C210" s="32" t="s">
        <v>605</v>
      </c>
      <c r="D210" t="s">
        <v>1547</v>
      </c>
      <c r="E210" s="54">
        <v>2000</v>
      </c>
      <c r="F210" s="54">
        <v>1055.05</v>
      </c>
      <c r="G210" s="54">
        <v>3944.95</v>
      </c>
      <c r="H210" s="54">
        <v>0</v>
      </c>
      <c r="I210" t="s">
        <v>2881</v>
      </c>
      <c r="J210" s="31">
        <v>1055.05</v>
      </c>
      <c r="K210" s="36" t="s">
        <v>1306</v>
      </c>
      <c r="L210" t="s">
        <v>2504</v>
      </c>
      <c r="M210" t="s">
        <v>1548</v>
      </c>
      <c r="N210" t="s">
        <v>2882</v>
      </c>
      <c r="O210" t="s">
        <v>67</v>
      </c>
      <c r="Q210" s="23">
        <v>46272.690495277777</v>
      </c>
      <c r="R210" s="32">
        <f>IF(OR(tbl_de_massas[[#This Row],[dia_vencimento]]="", tbl_de_massas[[#This Row],[dia_vencimento]]="--"), "", WORKDAY(tbl_de_massas[[#This Row],[dia_vencimento]], 5))</f>
        <v>17</v>
      </c>
    </row>
    <row r="211" spans="1:18" x14ac:dyDescent="0.25">
      <c r="A211" t="s">
        <v>2242</v>
      </c>
      <c r="B211" t="s">
        <v>1370</v>
      </c>
      <c r="C211" s="32" t="s">
        <v>605</v>
      </c>
      <c r="D211" t="s">
        <v>1371</v>
      </c>
      <c r="E211" s="54">
        <v>2000</v>
      </c>
      <c r="F211" s="54">
        <v>1055.05</v>
      </c>
      <c r="G211" s="54">
        <v>3944.95</v>
      </c>
      <c r="H211" s="54">
        <v>0</v>
      </c>
      <c r="I211" t="s">
        <v>2881</v>
      </c>
      <c r="J211" s="31">
        <v>1055.05</v>
      </c>
      <c r="K211" s="36" t="s">
        <v>1306</v>
      </c>
      <c r="L211" t="s">
        <v>2504</v>
      </c>
      <c r="M211" t="s">
        <v>1372</v>
      </c>
      <c r="N211" t="s">
        <v>2558</v>
      </c>
      <c r="O211" t="s">
        <v>67</v>
      </c>
      <c r="Q211" s="23">
        <v>46272.699782256946</v>
      </c>
      <c r="R211" s="32">
        <f>IF(OR(tbl_de_massas[[#This Row],[dia_vencimento]]="", tbl_de_massas[[#This Row],[dia_vencimento]]="--"), "", WORKDAY(tbl_de_massas[[#This Row],[dia_vencimento]], 5))</f>
        <v>17</v>
      </c>
    </row>
    <row r="212" spans="1:18" x14ac:dyDescent="0.25">
      <c r="A212" t="s">
        <v>2243</v>
      </c>
      <c r="B212" t="s">
        <v>1561</v>
      </c>
      <c r="C212" s="32" t="s">
        <v>605</v>
      </c>
      <c r="D212" t="s">
        <v>1562</v>
      </c>
      <c r="E212" s="54">
        <v>2000</v>
      </c>
      <c r="F212" s="54">
        <v>1055.05</v>
      </c>
      <c r="G212" s="54">
        <v>3944.95</v>
      </c>
      <c r="H212" s="54">
        <v>0</v>
      </c>
      <c r="I212" t="s">
        <v>2881</v>
      </c>
      <c r="J212" s="31">
        <v>1055.05</v>
      </c>
      <c r="K212" s="36" t="s">
        <v>1306</v>
      </c>
      <c r="L212" t="s">
        <v>2504</v>
      </c>
      <c r="M212" t="s">
        <v>1563</v>
      </c>
      <c r="N212" t="s">
        <v>1564</v>
      </c>
      <c r="O212" t="s">
        <v>67</v>
      </c>
      <c r="Q212" s="23">
        <v>46272.70552596065</v>
      </c>
      <c r="R212" s="32">
        <f>IF(OR(tbl_de_massas[[#This Row],[dia_vencimento]]="", tbl_de_massas[[#This Row],[dia_vencimento]]="--"), "", WORKDAY(tbl_de_massas[[#This Row],[dia_vencimento]], 5))</f>
        <v>17</v>
      </c>
    </row>
    <row r="213" spans="1:18" x14ac:dyDescent="0.25">
      <c r="A213" t="s">
        <v>2244</v>
      </c>
      <c r="B213" t="s">
        <v>2030</v>
      </c>
      <c r="C213" s="32" t="s">
        <v>605</v>
      </c>
      <c r="D213" t="s">
        <v>2031</v>
      </c>
      <c r="E213" s="54">
        <v>2000</v>
      </c>
      <c r="F213" s="54">
        <v>1055.05</v>
      </c>
      <c r="G213" s="54">
        <v>3944.95</v>
      </c>
      <c r="H213" s="54">
        <v>0</v>
      </c>
      <c r="I213" t="s">
        <v>2881</v>
      </c>
      <c r="J213" s="31">
        <v>1055.05</v>
      </c>
      <c r="K213" s="36" t="s">
        <v>1306</v>
      </c>
      <c r="L213" t="s">
        <v>2504</v>
      </c>
      <c r="M213" t="s">
        <v>2032</v>
      </c>
      <c r="N213" t="s">
        <v>2033</v>
      </c>
      <c r="O213" t="s">
        <v>67</v>
      </c>
      <c r="Q213" s="23">
        <v>46272.706366319442</v>
      </c>
      <c r="R213" s="32">
        <f>IF(OR(tbl_de_massas[[#This Row],[dia_vencimento]]="", tbl_de_massas[[#This Row],[dia_vencimento]]="--"), "", WORKDAY(tbl_de_massas[[#This Row],[dia_vencimento]], 5))</f>
        <v>17</v>
      </c>
    </row>
    <row r="214" spans="1:18" x14ac:dyDescent="0.25">
      <c r="A214" t="s">
        <v>2245</v>
      </c>
      <c r="B214" t="s">
        <v>1845</v>
      </c>
      <c r="C214" s="32" t="s">
        <v>605</v>
      </c>
      <c r="D214" t="s">
        <v>1846</v>
      </c>
      <c r="E214" s="54">
        <v>2000</v>
      </c>
      <c r="F214" s="54">
        <v>1055.05</v>
      </c>
      <c r="G214" s="54">
        <v>3944.95</v>
      </c>
      <c r="H214" s="54">
        <v>0</v>
      </c>
      <c r="I214" t="s">
        <v>2881</v>
      </c>
      <c r="J214" s="31">
        <v>1055.05</v>
      </c>
      <c r="K214" s="36" t="s">
        <v>1306</v>
      </c>
      <c r="L214" t="s">
        <v>2504</v>
      </c>
      <c r="M214" t="s">
        <v>1847</v>
      </c>
      <c r="N214" t="s">
        <v>1848</v>
      </c>
      <c r="O214" t="s">
        <v>67</v>
      </c>
      <c r="Q214" s="23">
        <v>46272.709627638891</v>
      </c>
      <c r="R214" s="32">
        <f>IF(OR(tbl_de_massas[[#This Row],[dia_vencimento]]="", tbl_de_massas[[#This Row],[dia_vencimento]]="--"), "", WORKDAY(tbl_de_massas[[#This Row],[dia_vencimento]], 5))</f>
        <v>17</v>
      </c>
    </row>
    <row r="215" spans="1:18" x14ac:dyDescent="0.25">
      <c r="A215" t="s">
        <v>2246</v>
      </c>
      <c r="B215" t="s">
        <v>1820</v>
      </c>
      <c r="C215" s="32" t="s">
        <v>605</v>
      </c>
      <c r="D215" t="s">
        <v>1821</v>
      </c>
      <c r="E215" s="54">
        <v>2000</v>
      </c>
      <c r="F215" s="54">
        <v>1055.05</v>
      </c>
      <c r="G215" s="54">
        <v>3944.95</v>
      </c>
      <c r="H215" s="54">
        <v>0</v>
      </c>
      <c r="I215" t="s">
        <v>2881</v>
      </c>
      <c r="J215" s="31">
        <v>1055.05</v>
      </c>
      <c r="K215" s="36" t="s">
        <v>1306</v>
      </c>
      <c r="L215" t="s">
        <v>2504</v>
      </c>
      <c r="M215" t="s">
        <v>1822</v>
      </c>
      <c r="N215" t="s">
        <v>1823</v>
      </c>
      <c r="O215" t="s">
        <v>67</v>
      </c>
      <c r="Q215" s="23">
        <v>46272.715459259256</v>
      </c>
      <c r="R215" s="32">
        <f>IF(OR(tbl_de_massas[[#This Row],[dia_vencimento]]="", tbl_de_massas[[#This Row],[dia_vencimento]]="--"), "", WORKDAY(tbl_de_massas[[#This Row],[dia_vencimento]], 5))</f>
        <v>17</v>
      </c>
    </row>
    <row r="216" spans="1:18" x14ac:dyDescent="0.25">
      <c r="A216" t="s">
        <v>2247</v>
      </c>
      <c r="B216" t="s">
        <v>1849</v>
      </c>
      <c r="C216" s="32" t="s">
        <v>605</v>
      </c>
      <c r="D216" t="s">
        <v>1850</v>
      </c>
      <c r="E216" s="54">
        <v>2000</v>
      </c>
      <c r="F216" s="54">
        <v>1055.05</v>
      </c>
      <c r="G216" s="54">
        <v>3944.95</v>
      </c>
      <c r="H216" s="54">
        <v>0</v>
      </c>
      <c r="I216" t="s">
        <v>2881</v>
      </c>
      <c r="J216" s="31">
        <v>1055.05</v>
      </c>
      <c r="K216" s="36" t="s">
        <v>1306</v>
      </c>
      <c r="L216" t="s">
        <v>2504</v>
      </c>
      <c r="M216" t="s">
        <v>1851</v>
      </c>
      <c r="N216" t="s">
        <v>607</v>
      </c>
      <c r="O216" t="s">
        <v>67</v>
      </c>
      <c r="Q216" s="23">
        <v>46272.718173333335</v>
      </c>
      <c r="R216" s="32">
        <f>IF(OR(tbl_de_massas[[#This Row],[dia_vencimento]]="", tbl_de_massas[[#This Row],[dia_vencimento]]="--"), "", WORKDAY(tbl_de_massas[[#This Row],[dia_vencimento]], 5))</f>
        <v>17</v>
      </c>
    </row>
    <row r="217" spans="1:18" x14ac:dyDescent="0.25">
      <c r="A217" t="s">
        <v>2248</v>
      </c>
      <c r="B217" t="s">
        <v>1419</v>
      </c>
      <c r="C217" s="32" t="s">
        <v>605</v>
      </c>
      <c r="D217" t="s">
        <v>1420</v>
      </c>
      <c r="E217" s="54">
        <v>2000</v>
      </c>
      <c r="F217" s="54">
        <v>1055.05</v>
      </c>
      <c r="G217" s="54">
        <v>3944.95</v>
      </c>
      <c r="H217" s="54">
        <v>0</v>
      </c>
      <c r="I217" t="s">
        <v>2881</v>
      </c>
      <c r="J217" s="31">
        <v>1055.05</v>
      </c>
      <c r="K217" s="36" t="s">
        <v>1306</v>
      </c>
      <c r="L217" t="s">
        <v>2504</v>
      </c>
      <c r="M217" t="s">
        <v>1421</v>
      </c>
      <c r="N217" t="s">
        <v>1422</v>
      </c>
      <c r="O217" t="s">
        <v>67</v>
      </c>
      <c r="Q217" s="23">
        <v>46272.739803796299</v>
      </c>
      <c r="R217" s="32">
        <f>IF(OR(tbl_de_massas[[#This Row],[dia_vencimento]]="", tbl_de_massas[[#This Row],[dia_vencimento]]="--"), "", WORKDAY(tbl_de_massas[[#This Row],[dia_vencimento]], 5))</f>
        <v>17</v>
      </c>
    </row>
    <row r="218" spans="1:18" x14ac:dyDescent="0.25">
      <c r="A218" t="s">
        <v>2249</v>
      </c>
      <c r="B218" t="s">
        <v>1702</v>
      </c>
      <c r="C218" s="32" t="s">
        <v>605</v>
      </c>
      <c r="D218" t="s">
        <v>1703</v>
      </c>
      <c r="E218" s="54">
        <v>2000</v>
      </c>
      <c r="F218" s="54">
        <v>1055.05</v>
      </c>
      <c r="G218" s="54">
        <v>3944.95</v>
      </c>
      <c r="H218" s="54">
        <v>0</v>
      </c>
      <c r="I218" t="s">
        <v>2881</v>
      </c>
      <c r="J218" s="31">
        <v>1055.05</v>
      </c>
      <c r="K218" s="36" t="s">
        <v>1306</v>
      </c>
      <c r="L218" t="s">
        <v>2504</v>
      </c>
      <c r="M218" t="s">
        <v>1704</v>
      </c>
      <c r="N218" t="s">
        <v>1705</v>
      </c>
      <c r="O218" t="s">
        <v>67</v>
      </c>
      <c r="Q218" s="23">
        <v>46272.742951898152</v>
      </c>
      <c r="R218" s="32">
        <f>IF(OR(tbl_de_massas[[#This Row],[dia_vencimento]]="", tbl_de_massas[[#This Row],[dia_vencimento]]="--"), "", WORKDAY(tbl_de_massas[[#This Row],[dia_vencimento]], 5))</f>
        <v>17</v>
      </c>
    </row>
    <row r="219" spans="1:18" x14ac:dyDescent="0.25">
      <c r="A219" t="s">
        <v>2250</v>
      </c>
      <c r="B219" t="s">
        <v>1601</v>
      </c>
      <c r="C219" s="32" t="s">
        <v>605</v>
      </c>
      <c r="D219" t="s">
        <v>1602</v>
      </c>
      <c r="E219" s="54">
        <v>2000</v>
      </c>
      <c r="F219" s="54">
        <v>1055.05</v>
      </c>
      <c r="G219" s="54">
        <v>3944.95</v>
      </c>
      <c r="H219" s="54">
        <v>0</v>
      </c>
      <c r="I219" t="s">
        <v>2881</v>
      </c>
      <c r="J219" s="31">
        <v>1055.05</v>
      </c>
      <c r="K219" s="36" t="s">
        <v>1306</v>
      </c>
      <c r="L219" t="s">
        <v>2504</v>
      </c>
      <c r="M219" t="s">
        <v>1603</v>
      </c>
      <c r="N219" t="s">
        <v>1604</v>
      </c>
      <c r="O219" t="s">
        <v>67</v>
      </c>
      <c r="Q219" s="23">
        <v>46272.764313194442</v>
      </c>
      <c r="R219" s="32">
        <f>IF(OR(tbl_de_massas[[#This Row],[dia_vencimento]]="", tbl_de_massas[[#This Row],[dia_vencimento]]="--"), "", WORKDAY(tbl_de_massas[[#This Row],[dia_vencimento]], 5))</f>
        <v>17</v>
      </c>
    </row>
    <row r="220" spans="1:18" x14ac:dyDescent="0.25">
      <c r="A220" t="s">
        <v>2251</v>
      </c>
      <c r="B220" t="s">
        <v>1824</v>
      </c>
      <c r="C220" s="32" t="s">
        <v>605</v>
      </c>
      <c r="D220" t="s">
        <v>1825</v>
      </c>
      <c r="E220" s="54">
        <v>2000</v>
      </c>
      <c r="F220" s="54">
        <v>1055.05</v>
      </c>
      <c r="G220" s="54">
        <v>3944.95</v>
      </c>
      <c r="H220" s="54">
        <v>0</v>
      </c>
      <c r="I220" t="s">
        <v>2881</v>
      </c>
      <c r="J220" s="31">
        <v>1055.05</v>
      </c>
      <c r="K220" s="36" t="s">
        <v>1306</v>
      </c>
      <c r="L220" t="s">
        <v>2504</v>
      </c>
      <c r="M220" t="s">
        <v>1826</v>
      </c>
      <c r="N220" t="s">
        <v>1827</v>
      </c>
      <c r="O220" t="s">
        <v>67</v>
      </c>
      <c r="Q220" s="23">
        <v>46272.765182291667</v>
      </c>
      <c r="R220" s="32">
        <f>IF(OR(tbl_de_massas[[#This Row],[dia_vencimento]]="", tbl_de_massas[[#This Row],[dia_vencimento]]="--"), "", WORKDAY(tbl_de_massas[[#This Row],[dia_vencimento]], 5))</f>
        <v>17</v>
      </c>
    </row>
    <row r="221" spans="1:18" x14ac:dyDescent="0.25">
      <c r="A221" t="s">
        <v>2252</v>
      </c>
      <c r="B221" t="s">
        <v>1739</v>
      </c>
      <c r="C221" s="32" t="s">
        <v>605</v>
      </c>
      <c r="D221" t="s">
        <v>1740</v>
      </c>
      <c r="E221" s="54">
        <v>2000</v>
      </c>
      <c r="F221" s="54">
        <v>1055.05</v>
      </c>
      <c r="G221" s="54">
        <v>3944.95</v>
      </c>
      <c r="H221" s="54">
        <v>0</v>
      </c>
      <c r="I221" t="s">
        <v>2881</v>
      </c>
      <c r="J221" s="31">
        <v>1055.05</v>
      </c>
      <c r="K221" s="36" t="s">
        <v>1306</v>
      </c>
      <c r="L221" t="s">
        <v>2504</v>
      </c>
      <c r="M221" t="s">
        <v>1741</v>
      </c>
      <c r="N221" t="s">
        <v>1742</v>
      </c>
      <c r="O221" t="s">
        <v>67</v>
      </c>
      <c r="Q221" s="23">
        <v>46272.768547766202</v>
      </c>
      <c r="R221" s="32">
        <f>IF(OR(tbl_de_massas[[#This Row],[dia_vencimento]]="", tbl_de_massas[[#This Row],[dia_vencimento]]="--"), "", WORKDAY(tbl_de_massas[[#This Row],[dia_vencimento]], 5))</f>
        <v>17</v>
      </c>
    </row>
    <row r="222" spans="1:18" x14ac:dyDescent="0.25">
      <c r="A222" t="s">
        <v>2253</v>
      </c>
      <c r="B222" t="s">
        <v>1804</v>
      </c>
      <c r="C222" s="32" t="s">
        <v>605</v>
      </c>
      <c r="D222" t="s">
        <v>1805</v>
      </c>
      <c r="E222" s="54">
        <v>2000</v>
      </c>
      <c r="F222" s="54">
        <v>1055.05</v>
      </c>
      <c r="G222" s="54">
        <v>3944.95</v>
      </c>
      <c r="H222" s="54">
        <v>0</v>
      </c>
      <c r="I222" t="s">
        <v>2881</v>
      </c>
      <c r="J222" s="31">
        <v>1055.05</v>
      </c>
      <c r="K222" s="36" t="s">
        <v>1306</v>
      </c>
      <c r="L222" t="s">
        <v>2504</v>
      </c>
      <c r="M222" t="s">
        <v>1806</v>
      </c>
      <c r="N222" t="s">
        <v>1807</v>
      </c>
      <c r="O222" t="s">
        <v>67</v>
      </c>
      <c r="Q222" s="23">
        <v>46272.778767337964</v>
      </c>
      <c r="R222" s="32">
        <f>IF(OR(tbl_de_massas[[#This Row],[dia_vencimento]]="", tbl_de_massas[[#This Row],[dia_vencimento]]="--"), "", WORKDAY(tbl_de_massas[[#This Row],[dia_vencimento]], 5))</f>
        <v>17</v>
      </c>
    </row>
    <row r="223" spans="1:18" x14ac:dyDescent="0.25">
      <c r="A223" t="s">
        <v>2491</v>
      </c>
      <c r="B223" t="s">
        <v>1581</v>
      </c>
      <c r="C223" s="32" t="s">
        <v>605</v>
      </c>
      <c r="D223" t="s">
        <v>1582</v>
      </c>
      <c r="E223" s="54">
        <v>2000</v>
      </c>
      <c r="F223" s="54">
        <v>1055.05</v>
      </c>
      <c r="G223" s="54">
        <v>3944.95</v>
      </c>
      <c r="H223" s="54">
        <v>0</v>
      </c>
      <c r="I223" t="s">
        <v>2881</v>
      </c>
      <c r="J223" s="31">
        <v>1055.05</v>
      </c>
      <c r="K223" s="36" t="s">
        <v>1306</v>
      </c>
      <c r="L223" t="s">
        <v>2504</v>
      </c>
      <c r="M223" t="s">
        <v>1583</v>
      </c>
      <c r="N223" t="s">
        <v>1584</v>
      </c>
      <c r="O223" t="s">
        <v>67</v>
      </c>
      <c r="Q223" s="23">
        <v>46272.787845439816</v>
      </c>
      <c r="R223" s="32">
        <f>IF(OR(tbl_de_massas[[#This Row],[dia_vencimento]]="", tbl_de_massas[[#This Row],[dia_vencimento]]="--"), "", WORKDAY(tbl_de_massas[[#This Row],[dia_vencimento]], 5))</f>
        <v>17</v>
      </c>
    </row>
    <row r="224" spans="1:18" x14ac:dyDescent="0.25">
      <c r="A224" t="s">
        <v>2492</v>
      </c>
      <c r="B224" t="s">
        <v>1816</v>
      </c>
      <c r="C224" s="32" t="s">
        <v>605</v>
      </c>
      <c r="D224" t="s">
        <v>1817</v>
      </c>
      <c r="E224" s="54">
        <v>2000</v>
      </c>
      <c r="F224" s="54">
        <v>1055.05</v>
      </c>
      <c r="G224" s="54">
        <v>3944.95</v>
      </c>
      <c r="H224" s="54">
        <v>0</v>
      </c>
      <c r="I224" t="s">
        <v>2881</v>
      </c>
      <c r="J224" s="31">
        <v>1055.05</v>
      </c>
      <c r="K224" s="36" t="s">
        <v>1306</v>
      </c>
      <c r="L224" t="s">
        <v>2504</v>
      </c>
      <c r="M224" t="s">
        <v>1818</v>
      </c>
      <c r="N224" t="s">
        <v>1819</v>
      </c>
      <c r="O224" t="s">
        <v>67</v>
      </c>
      <c r="Q224" s="23">
        <v>46272.789627905091</v>
      </c>
      <c r="R224" s="32">
        <f>IF(OR(tbl_de_massas[[#This Row],[dia_vencimento]]="", tbl_de_massas[[#This Row],[dia_vencimento]]="--"), "", WORKDAY(tbl_de_massas[[#This Row],[dia_vencimento]], 5))</f>
        <v>17</v>
      </c>
    </row>
    <row r="225" spans="1:18" x14ac:dyDescent="0.25">
      <c r="A225" t="s">
        <v>2493</v>
      </c>
      <c r="B225" t="s">
        <v>1522</v>
      </c>
      <c r="C225" s="32" t="s">
        <v>605</v>
      </c>
      <c r="D225" t="s">
        <v>1523</v>
      </c>
      <c r="E225" s="54">
        <v>2000</v>
      </c>
      <c r="F225" s="54">
        <v>1055.05</v>
      </c>
      <c r="G225" s="54">
        <v>3944.95</v>
      </c>
      <c r="H225" s="54">
        <v>0</v>
      </c>
      <c r="I225" t="s">
        <v>2881</v>
      </c>
      <c r="J225" s="31">
        <v>1055.05</v>
      </c>
      <c r="K225" s="36" t="s">
        <v>1306</v>
      </c>
      <c r="L225" t="s">
        <v>2504</v>
      </c>
      <c r="M225" t="s">
        <v>1524</v>
      </c>
      <c r="N225" t="s">
        <v>1525</v>
      </c>
      <c r="O225" t="s">
        <v>67</v>
      </c>
      <c r="Q225" s="23">
        <v>46272.801445324076</v>
      </c>
      <c r="R225" s="32">
        <f>IF(OR(tbl_de_massas[[#This Row],[dia_vencimento]]="", tbl_de_massas[[#This Row],[dia_vencimento]]="--"), "", WORKDAY(tbl_de_massas[[#This Row],[dia_vencimento]], 5))</f>
        <v>17</v>
      </c>
    </row>
    <row r="226" spans="1:18" x14ac:dyDescent="0.25">
      <c r="A226" t="s">
        <v>2518</v>
      </c>
      <c r="B226" t="s">
        <v>2061</v>
      </c>
      <c r="C226" s="32" t="s">
        <v>605</v>
      </c>
      <c r="D226" t="s">
        <v>2062</v>
      </c>
      <c r="E226" s="54">
        <v>2000</v>
      </c>
      <c r="F226" s="54">
        <v>1055.05</v>
      </c>
      <c r="G226" s="54">
        <v>3944.95</v>
      </c>
      <c r="H226" s="54">
        <v>0</v>
      </c>
      <c r="I226" t="s">
        <v>2881</v>
      </c>
      <c r="J226" s="31">
        <v>1055.05</v>
      </c>
      <c r="K226" s="36" t="s">
        <v>1306</v>
      </c>
      <c r="L226" t="s">
        <v>2504</v>
      </c>
      <c r="M226" t="s">
        <v>2063</v>
      </c>
      <c r="N226" t="s">
        <v>2064</v>
      </c>
      <c r="O226" t="s">
        <v>67</v>
      </c>
      <c r="Q226" s="23">
        <v>46272.807084409724</v>
      </c>
      <c r="R226" s="32">
        <f>IF(OR(tbl_de_massas[[#This Row],[dia_vencimento]]="", tbl_de_massas[[#This Row],[dia_vencimento]]="--"), "", WORKDAY(tbl_de_massas[[#This Row],[dia_vencimento]], 5))</f>
        <v>17</v>
      </c>
    </row>
    <row r="227" spans="1:18" x14ac:dyDescent="0.25">
      <c r="A227" t="s">
        <v>2519</v>
      </c>
      <c r="B227" t="s">
        <v>1861</v>
      </c>
      <c r="C227" s="32" t="s">
        <v>605</v>
      </c>
      <c r="D227" t="s">
        <v>1862</v>
      </c>
      <c r="E227" s="54">
        <v>2000</v>
      </c>
      <c r="F227" s="54">
        <v>1055.05</v>
      </c>
      <c r="G227" s="54">
        <v>3944.95</v>
      </c>
      <c r="H227" s="54">
        <v>0</v>
      </c>
      <c r="I227" t="s">
        <v>2881</v>
      </c>
      <c r="J227" s="31">
        <v>1055.05</v>
      </c>
      <c r="K227" s="36" t="s">
        <v>1306</v>
      </c>
      <c r="L227" t="s">
        <v>2504</v>
      </c>
      <c r="M227" t="s">
        <v>1863</v>
      </c>
      <c r="N227" t="s">
        <v>1864</v>
      </c>
      <c r="O227" t="s">
        <v>67</v>
      </c>
      <c r="Q227" s="23">
        <v>46272.843128946763</v>
      </c>
      <c r="R227" s="32">
        <f>IF(OR(tbl_de_massas[[#This Row],[dia_vencimento]]="", tbl_de_massas[[#This Row],[dia_vencimento]]="--"), "", WORKDAY(tbl_de_massas[[#This Row],[dia_vencimento]], 5))</f>
        <v>17</v>
      </c>
    </row>
    <row r="228" spans="1:18" x14ac:dyDescent="0.25">
      <c r="A228" t="s">
        <v>2520</v>
      </c>
      <c r="B228" t="s">
        <v>1857</v>
      </c>
      <c r="C228" s="32" t="s">
        <v>605</v>
      </c>
      <c r="D228" t="s">
        <v>1858</v>
      </c>
      <c r="E228" s="54">
        <v>2000</v>
      </c>
      <c r="F228" s="54">
        <v>1055.05</v>
      </c>
      <c r="G228" s="54">
        <v>3944.95</v>
      </c>
      <c r="H228" s="54">
        <v>0</v>
      </c>
      <c r="I228" t="s">
        <v>2881</v>
      </c>
      <c r="J228" s="31">
        <v>1055.05</v>
      </c>
      <c r="K228" s="36" t="s">
        <v>1306</v>
      </c>
      <c r="L228" t="s">
        <v>2504</v>
      </c>
      <c r="M228" t="s">
        <v>1859</v>
      </c>
      <c r="N228" t="s">
        <v>1860</v>
      </c>
      <c r="O228" t="s">
        <v>67</v>
      </c>
      <c r="Q228" s="23">
        <v>46272.851136805555</v>
      </c>
      <c r="R228" s="32">
        <f>IF(OR(tbl_de_massas[[#This Row],[dia_vencimento]]="", tbl_de_massas[[#This Row],[dia_vencimento]]="--"), "", WORKDAY(tbl_de_massas[[#This Row],[dia_vencimento]], 5))</f>
        <v>17</v>
      </c>
    </row>
    <row r="229" spans="1:18" x14ac:dyDescent="0.25">
      <c r="A229" t="s">
        <v>2521</v>
      </c>
      <c r="B229" t="s">
        <v>1672</v>
      </c>
      <c r="C229" s="32" t="s">
        <v>605</v>
      </c>
      <c r="D229" t="s">
        <v>1673</v>
      </c>
      <c r="E229" s="54">
        <v>2000</v>
      </c>
      <c r="F229" s="54">
        <v>1055.05</v>
      </c>
      <c r="G229" s="54">
        <v>3944.95</v>
      </c>
      <c r="H229" s="54">
        <v>0</v>
      </c>
      <c r="I229" t="s">
        <v>2881</v>
      </c>
      <c r="J229" s="31">
        <v>1055.05</v>
      </c>
      <c r="K229" s="36" t="s">
        <v>1306</v>
      </c>
      <c r="L229" t="s">
        <v>2504</v>
      </c>
      <c r="M229" t="s">
        <v>1674</v>
      </c>
      <c r="N229" t="s">
        <v>1360</v>
      </c>
      <c r="O229" t="s">
        <v>67</v>
      </c>
      <c r="Q229" s="23">
        <v>46272.855130405092</v>
      </c>
      <c r="R229" s="32">
        <f>IF(OR(tbl_de_massas[[#This Row],[dia_vencimento]]="", tbl_de_massas[[#This Row],[dia_vencimento]]="--"), "", WORKDAY(tbl_de_massas[[#This Row],[dia_vencimento]], 5))</f>
        <v>17</v>
      </c>
    </row>
    <row r="230" spans="1:18" x14ac:dyDescent="0.25">
      <c r="A230" t="s">
        <v>2522</v>
      </c>
      <c r="B230" t="s">
        <v>1348</v>
      </c>
      <c r="C230" s="32" t="s">
        <v>605</v>
      </c>
      <c r="D230" t="s">
        <v>1349</v>
      </c>
      <c r="E230" s="54">
        <v>2000</v>
      </c>
      <c r="F230" s="54">
        <v>1055.05</v>
      </c>
      <c r="G230" s="54">
        <v>3944.95</v>
      </c>
      <c r="H230" s="54">
        <v>0</v>
      </c>
      <c r="I230" t="s">
        <v>2881</v>
      </c>
      <c r="J230" s="31">
        <v>1055.05</v>
      </c>
      <c r="K230" s="36" t="s">
        <v>1306</v>
      </c>
      <c r="L230" t="s">
        <v>2504</v>
      </c>
      <c r="M230" t="s">
        <v>1350</v>
      </c>
      <c r="N230" t="s">
        <v>1351</v>
      </c>
      <c r="O230" t="s">
        <v>67</v>
      </c>
      <c r="Q230" s="23">
        <v>46272.859991053243</v>
      </c>
      <c r="R230" s="32">
        <f>IF(OR(tbl_de_massas[[#This Row],[dia_vencimento]]="", tbl_de_massas[[#This Row],[dia_vencimento]]="--"), "", WORKDAY(tbl_de_massas[[#This Row],[dia_vencimento]], 5))</f>
        <v>17</v>
      </c>
    </row>
    <row r="231" spans="1:18" x14ac:dyDescent="0.25">
      <c r="A231" t="s">
        <v>2523</v>
      </c>
      <c r="B231" t="s">
        <v>1362</v>
      </c>
      <c r="C231" s="32" t="s">
        <v>605</v>
      </c>
      <c r="D231" t="s">
        <v>1363</v>
      </c>
      <c r="E231" s="54">
        <v>2000</v>
      </c>
      <c r="F231" s="54">
        <v>1055.05</v>
      </c>
      <c r="G231" s="54">
        <v>3944.95</v>
      </c>
      <c r="H231" s="54">
        <v>0</v>
      </c>
      <c r="I231" t="s">
        <v>2881</v>
      </c>
      <c r="J231" s="31">
        <v>1055.05</v>
      </c>
      <c r="K231" s="36" t="s">
        <v>1306</v>
      </c>
      <c r="L231" t="s">
        <v>2504</v>
      </c>
      <c r="M231" t="s">
        <v>1364</v>
      </c>
      <c r="N231" t="s">
        <v>1365</v>
      </c>
      <c r="O231" t="s">
        <v>67</v>
      </c>
      <c r="Q231" s="23">
        <v>46272.880725960647</v>
      </c>
      <c r="R231" s="32">
        <f>IF(OR(tbl_de_massas[[#This Row],[dia_vencimento]]="", tbl_de_massas[[#This Row],[dia_vencimento]]="--"), "", WORKDAY(tbl_de_massas[[#This Row],[dia_vencimento]], 5))</f>
        <v>17</v>
      </c>
    </row>
    <row r="232" spans="1:18" x14ac:dyDescent="0.25">
      <c r="A232" t="s">
        <v>2524</v>
      </c>
      <c r="B232" t="s">
        <v>1931</v>
      </c>
      <c r="C232" s="32" t="s">
        <v>605</v>
      </c>
      <c r="D232" t="s">
        <v>1932</v>
      </c>
      <c r="E232" s="54">
        <v>2000</v>
      </c>
      <c r="F232" s="54">
        <v>1055.05</v>
      </c>
      <c r="G232" s="54">
        <v>3944.95</v>
      </c>
      <c r="H232" s="54">
        <v>0</v>
      </c>
      <c r="I232" t="s">
        <v>2881</v>
      </c>
      <c r="J232" s="31">
        <v>1055.05</v>
      </c>
      <c r="K232" s="36" t="s">
        <v>1306</v>
      </c>
      <c r="L232" t="s">
        <v>2504</v>
      </c>
      <c r="M232" t="s">
        <v>1933</v>
      </c>
      <c r="N232" t="s">
        <v>1934</v>
      </c>
      <c r="O232" t="s">
        <v>67</v>
      </c>
      <c r="Q232" s="23">
        <v>46272.882913842594</v>
      </c>
      <c r="R232" s="32">
        <f>IF(OR(tbl_de_massas[[#This Row],[dia_vencimento]]="", tbl_de_massas[[#This Row],[dia_vencimento]]="--"), "", WORKDAY(tbl_de_massas[[#This Row],[dia_vencimento]], 5))</f>
        <v>17</v>
      </c>
    </row>
    <row r="233" spans="1:18" x14ac:dyDescent="0.25">
      <c r="A233" t="s">
        <v>2525</v>
      </c>
      <c r="B233" t="s">
        <v>1762</v>
      </c>
      <c r="C233" s="32" t="s">
        <v>605</v>
      </c>
      <c r="D233" t="s">
        <v>1763</v>
      </c>
      <c r="E233" s="54">
        <v>2000</v>
      </c>
      <c r="F233" s="54">
        <v>1055.05</v>
      </c>
      <c r="G233" s="54">
        <v>3944.95</v>
      </c>
      <c r="H233" s="54">
        <v>0</v>
      </c>
      <c r="I233" t="s">
        <v>2881</v>
      </c>
      <c r="J233" s="31">
        <v>1055.05</v>
      </c>
      <c r="K233" s="36" t="s">
        <v>1306</v>
      </c>
      <c r="L233" t="s">
        <v>2504</v>
      </c>
      <c r="M233" t="s">
        <v>1764</v>
      </c>
      <c r="N233" t="s">
        <v>1765</v>
      </c>
      <c r="O233" t="s">
        <v>67</v>
      </c>
      <c r="Q233" s="23">
        <v>46272.888164814816</v>
      </c>
      <c r="R233" s="32">
        <f>IF(OR(tbl_de_massas[[#This Row],[dia_vencimento]]="", tbl_de_massas[[#This Row],[dia_vencimento]]="--"), "", WORKDAY(tbl_de_massas[[#This Row],[dia_vencimento]], 5))</f>
        <v>17</v>
      </c>
    </row>
    <row r="234" spans="1:18" x14ac:dyDescent="0.25">
      <c r="A234" t="s">
        <v>2526</v>
      </c>
      <c r="B234" t="s">
        <v>2078</v>
      </c>
      <c r="C234" s="32" t="s">
        <v>605</v>
      </c>
      <c r="D234" t="s">
        <v>2079</v>
      </c>
      <c r="E234" s="54">
        <v>2000</v>
      </c>
      <c r="F234" s="54">
        <v>1055.05</v>
      </c>
      <c r="G234" s="54">
        <v>3944.95</v>
      </c>
      <c r="H234" s="54">
        <v>0</v>
      </c>
      <c r="I234" t="s">
        <v>2881</v>
      </c>
      <c r="J234" s="31">
        <v>1055.05</v>
      </c>
      <c r="K234" s="36" t="s">
        <v>1306</v>
      </c>
      <c r="L234" t="s">
        <v>2504</v>
      </c>
      <c r="M234" t="s">
        <v>2080</v>
      </c>
      <c r="N234" t="s">
        <v>2081</v>
      </c>
      <c r="O234" t="s">
        <v>67</v>
      </c>
      <c r="Q234" s="23">
        <v>46274.128464710651</v>
      </c>
      <c r="R234" s="32">
        <f>IF(OR(tbl_de_massas[[#This Row],[dia_vencimento]]="", tbl_de_massas[[#This Row],[dia_vencimento]]="--"), "", WORKDAY(tbl_de_massas[[#This Row],[dia_vencimento]], 5))</f>
        <v>17</v>
      </c>
    </row>
    <row r="235" spans="1:18" x14ac:dyDescent="0.25">
      <c r="A235" t="s">
        <v>2527</v>
      </c>
      <c r="B235" t="s">
        <v>1435</v>
      </c>
      <c r="C235" s="32" t="s">
        <v>605</v>
      </c>
      <c r="D235" t="s">
        <v>1432</v>
      </c>
      <c r="E235" s="54">
        <v>1550.9</v>
      </c>
      <c r="F235" s="54">
        <v>2493.0500000000002</v>
      </c>
      <c r="G235" s="54">
        <v>2506.9499999999998</v>
      </c>
      <c r="H235" s="54">
        <v>0</v>
      </c>
      <c r="I235" t="s">
        <v>2881</v>
      </c>
      <c r="J235" s="31">
        <v>2493.0500000000002</v>
      </c>
      <c r="K235" s="36" t="s">
        <v>1306</v>
      </c>
      <c r="L235" t="s">
        <v>2504</v>
      </c>
      <c r="M235" t="s">
        <v>1436</v>
      </c>
      <c r="N235" t="s">
        <v>1437</v>
      </c>
      <c r="O235" t="s">
        <v>67</v>
      </c>
      <c r="Q235" s="23">
        <v>46274.654943888891</v>
      </c>
      <c r="R235" s="32">
        <f>IF(OR(tbl_de_massas[[#This Row],[dia_vencimento]]="", tbl_de_massas[[#This Row],[dia_vencimento]]="--"), "", WORKDAY(tbl_de_massas[[#This Row],[dia_vencimento]], 5))</f>
        <v>17</v>
      </c>
    </row>
    <row r="236" spans="1:18" x14ac:dyDescent="0.25">
      <c r="A236" t="s">
        <v>2528</v>
      </c>
      <c r="B236" t="s">
        <v>1431</v>
      </c>
      <c r="C236" s="32" t="s">
        <v>605</v>
      </c>
      <c r="D236" t="s">
        <v>1432</v>
      </c>
      <c r="E236" s="54">
        <v>1600.8</v>
      </c>
      <c r="F236" s="54">
        <v>2443.15</v>
      </c>
      <c r="G236" s="54">
        <v>2556.85</v>
      </c>
      <c r="H236" s="54">
        <v>0</v>
      </c>
      <c r="I236" t="s">
        <v>2881</v>
      </c>
      <c r="J236" s="31">
        <v>2443.15</v>
      </c>
      <c r="K236" s="36" t="s">
        <v>1306</v>
      </c>
      <c r="L236" t="s">
        <v>2504</v>
      </c>
      <c r="M236" t="s">
        <v>1433</v>
      </c>
      <c r="N236" t="s">
        <v>1434</v>
      </c>
      <c r="O236" t="s">
        <v>67</v>
      </c>
      <c r="Q236" s="23">
        <v>46274.659754328706</v>
      </c>
      <c r="R236" s="32">
        <f>IF(OR(tbl_de_massas[[#This Row],[dia_vencimento]]="", tbl_de_massas[[#This Row],[dia_vencimento]]="--"), "", WORKDAY(tbl_de_massas[[#This Row],[dia_vencimento]], 5))</f>
        <v>17</v>
      </c>
    </row>
    <row r="237" spans="1:18" x14ac:dyDescent="0.25">
      <c r="A237" t="s">
        <v>2529</v>
      </c>
      <c r="B237" t="s">
        <v>1438</v>
      </c>
      <c r="C237" s="32" t="s">
        <v>605</v>
      </c>
      <c r="D237" t="s">
        <v>1432</v>
      </c>
      <c r="E237" s="54">
        <v>1600.8</v>
      </c>
      <c r="F237" s="54">
        <v>2353.25</v>
      </c>
      <c r="G237" s="54">
        <v>2646.75</v>
      </c>
      <c r="H237" s="54">
        <v>0</v>
      </c>
      <c r="I237" t="s">
        <v>2881</v>
      </c>
      <c r="J237" s="31">
        <v>2353.25</v>
      </c>
      <c r="K237" s="36" t="s">
        <v>1306</v>
      </c>
      <c r="L237" t="s">
        <v>2504</v>
      </c>
      <c r="M237" t="s">
        <v>1439</v>
      </c>
      <c r="N237" t="s">
        <v>1440</v>
      </c>
      <c r="O237" t="s">
        <v>67</v>
      </c>
      <c r="Q237" s="23">
        <v>46274.661077430559</v>
      </c>
      <c r="R237" s="32">
        <f>IF(OR(tbl_de_massas[[#This Row],[dia_vencimento]]="", tbl_de_massas[[#This Row],[dia_vencimento]]="--"), "", WORKDAY(tbl_de_massas[[#This Row],[dia_vencimento]], 5))</f>
        <v>17</v>
      </c>
    </row>
    <row r="238" spans="1:18" x14ac:dyDescent="0.25">
      <c r="A238" t="s">
        <v>2530</v>
      </c>
      <c r="B238" t="s">
        <v>11</v>
      </c>
      <c r="C238" s="32" t="s">
        <v>605</v>
      </c>
      <c r="D238" t="s">
        <v>51</v>
      </c>
      <c r="E238" s="54">
        <v>2000</v>
      </c>
      <c r="F238" s="54">
        <v>1055.05</v>
      </c>
      <c r="G238" s="54">
        <v>3944.95</v>
      </c>
      <c r="H238" s="54">
        <v>0</v>
      </c>
      <c r="I238" t="s">
        <v>2881</v>
      </c>
      <c r="J238" s="31">
        <v>1055.05</v>
      </c>
      <c r="K238" s="36" t="s">
        <v>1306</v>
      </c>
      <c r="L238" t="s">
        <v>2504</v>
      </c>
      <c r="M238" t="s">
        <v>1663</v>
      </c>
      <c r="N238" t="s">
        <v>1664</v>
      </c>
      <c r="O238" t="s">
        <v>67</v>
      </c>
      <c r="Q238" s="23">
        <v>46274.817525347222</v>
      </c>
      <c r="R238" s="32">
        <f>IF(OR(tbl_de_massas[[#This Row],[dia_vencimento]]="", tbl_de_massas[[#This Row],[dia_vencimento]]="--"), "", WORKDAY(tbl_de_massas[[#This Row],[dia_vencimento]], 5))</f>
        <v>17</v>
      </c>
    </row>
    <row r="239" spans="1:18" x14ac:dyDescent="0.25">
      <c r="A239" t="s">
        <v>2531</v>
      </c>
      <c r="B239" t="s">
        <v>72</v>
      </c>
      <c r="C239" s="32" t="s">
        <v>605</v>
      </c>
      <c r="D239" t="s">
        <v>69</v>
      </c>
      <c r="E239" s="54">
        <v>1898.39</v>
      </c>
      <c r="F239" s="54">
        <v>1055.05</v>
      </c>
      <c r="G239" s="54">
        <v>3944.95</v>
      </c>
      <c r="H239" s="54">
        <v>0</v>
      </c>
      <c r="I239" t="s">
        <v>2881</v>
      </c>
      <c r="J239" s="31">
        <v>1055.05</v>
      </c>
      <c r="K239" s="36" t="s">
        <v>1306</v>
      </c>
      <c r="L239" t="s">
        <v>2504</v>
      </c>
      <c r="M239" t="s">
        <v>1516</v>
      </c>
      <c r="N239" t="s">
        <v>1517</v>
      </c>
      <c r="O239" t="s">
        <v>67</v>
      </c>
      <c r="Q239" s="23">
        <v>46274.835714768516</v>
      </c>
      <c r="R239" s="32">
        <f>IF(OR(tbl_de_massas[[#This Row],[dia_vencimento]]="", tbl_de_massas[[#This Row],[dia_vencimento]]="--"), "", WORKDAY(tbl_de_massas[[#This Row],[dia_vencimento]], 5))</f>
        <v>17</v>
      </c>
    </row>
    <row r="240" spans="1:18" x14ac:dyDescent="0.25">
      <c r="A240" t="s">
        <v>2532</v>
      </c>
      <c r="B240" t="s">
        <v>89</v>
      </c>
      <c r="C240" s="32" t="s">
        <v>605</v>
      </c>
      <c r="D240" t="s">
        <v>86</v>
      </c>
      <c r="E240" s="54">
        <v>1894.44</v>
      </c>
      <c r="F240" s="54">
        <v>1933.45</v>
      </c>
      <c r="G240" s="54">
        <v>3066.55</v>
      </c>
      <c r="H240" s="54">
        <v>0</v>
      </c>
      <c r="I240" t="s">
        <v>2881</v>
      </c>
      <c r="J240" s="31">
        <v>1933.45</v>
      </c>
      <c r="K240" s="36" t="s">
        <v>1306</v>
      </c>
      <c r="L240" t="s">
        <v>2504</v>
      </c>
      <c r="M240" t="s">
        <v>1968</v>
      </c>
      <c r="N240" t="s">
        <v>1969</v>
      </c>
      <c r="O240" t="s">
        <v>67</v>
      </c>
      <c r="Q240" s="23">
        <v>46274.844761261571</v>
      </c>
      <c r="R240" s="32">
        <f>IF(OR(tbl_de_massas[[#This Row],[dia_vencimento]]="", tbl_de_massas[[#This Row],[dia_vencimento]]="--"), "", WORKDAY(tbl_de_massas[[#This Row],[dia_vencimento]], 5))</f>
        <v>17</v>
      </c>
    </row>
    <row r="241" spans="1:18" x14ac:dyDescent="0.25">
      <c r="A241" t="s">
        <v>2533</v>
      </c>
      <c r="B241" t="s">
        <v>104</v>
      </c>
      <c r="C241" s="32" t="s">
        <v>605</v>
      </c>
      <c r="D241" t="s">
        <v>101</v>
      </c>
      <c r="E241" s="54">
        <v>2000</v>
      </c>
      <c r="F241" s="54">
        <v>1294.25</v>
      </c>
      <c r="G241" s="54">
        <v>3705.75</v>
      </c>
      <c r="H241" s="54">
        <v>0</v>
      </c>
      <c r="I241" t="s">
        <v>2881</v>
      </c>
      <c r="J241" s="31">
        <v>1294.25</v>
      </c>
      <c r="K241" s="36" t="s">
        <v>1306</v>
      </c>
      <c r="L241" t="s">
        <v>2504</v>
      </c>
      <c r="M241" t="s">
        <v>1585</v>
      </c>
      <c r="N241" t="s">
        <v>1586</v>
      </c>
      <c r="O241" t="s">
        <v>67</v>
      </c>
      <c r="Q241" s="23">
        <v>46274.852203518516</v>
      </c>
      <c r="R241" s="32">
        <f>IF(OR(tbl_de_massas[[#This Row],[dia_vencimento]]="", tbl_de_massas[[#This Row],[dia_vencimento]]="--"), "", WORKDAY(tbl_de_massas[[#This Row],[dia_vencimento]], 5))</f>
        <v>17</v>
      </c>
    </row>
    <row r="242" spans="1:18" x14ac:dyDescent="0.25">
      <c r="A242" t="s">
        <v>2534</v>
      </c>
      <c r="B242" t="s">
        <v>119</v>
      </c>
      <c r="C242" s="32" t="s">
        <v>605</v>
      </c>
      <c r="D242" t="s">
        <v>116</v>
      </c>
      <c r="E242" s="54">
        <v>2000</v>
      </c>
      <c r="F242" s="54">
        <v>1774.25</v>
      </c>
      <c r="G242" s="54">
        <v>3225.75</v>
      </c>
      <c r="H242" s="54">
        <v>0</v>
      </c>
      <c r="I242" t="s">
        <v>2881</v>
      </c>
      <c r="J242" s="31">
        <v>1774.25</v>
      </c>
      <c r="K242" s="36" t="s">
        <v>1306</v>
      </c>
      <c r="L242" t="s">
        <v>2504</v>
      </c>
      <c r="M242" t="s">
        <v>2102</v>
      </c>
      <c r="N242" t="s">
        <v>2103</v>
      </c>
      <c r="O242" t="s">
        <v>67</v>
      </c>
      <c r="Q242" s="23">
        <v>46274.85621189815</v>
      </c>
      <c r="R242" s="32">
        <f>IF(OR(tbl_de_massas[[#This Row],[dia_vencimento]]="", tbl_de_massas[[#This Row],[dia_vencimento]]="--"), "", WORKDAY(tbl_de_massas[[#This Row],[dia_vencimento]], 5))</f>
        <v>17</v>
      </c>
    </row>
    <row r="243" spans="1:18" x14ac:dyDescent="0.25">
      <c r="A243" t="s">
        <v>2535</v>
      </c>
      <c r="B243" t="s">
        <v>133</v>
      </c>
      <c r="C243" s="32" t="s">
        <v>605</v>
      </c>
      <c r="D243" t="s">
        <v>130</v>
      </c>
      <c r="E243" s="54">
        <v>2000</v>
      </c>
      <c r="F243" s="54">
        <v>1055.05</v>
      </c>
      <c r="G243" s="54">
        <v>3944.95</v>
      </c>
      <c r="H243" s="54">
        <v>0</v>
      </c>
      <c r="I243" t="s">
        <v>2881</v>
      </c>
      <c r="J243" s="31">
        <v>1055.05</v>
      </c>
      <c r="K243" s="36" t="s">
        <v>1306</v>
      </c>
      <c r="L243" t="s">
        <v>2504</v>
      </c>
      <c r="M243" t="s">
        <v>1760</v>
      </c>
      <c r="N243" t="s">
        <v>1761</v>
      </c>
      <c r="O243" t="s">
        <v>67</v>
      </c>
      <c r="Q243" s="23">
        <v>46274.86301922454</v>
      </c>
      <c r="R243" s="32">
        <f>IF(OR(tbl_de_massas[[#This Row],[dia_vencimento]]="", tbl_de_massas[[#This Row],[dia_vencimento]]="--"), "", WORKDAY(tbl_de_massas[[#This Row],[dia_vencimento]], 5))</f>
        <v>17</v>
      </c>
    </row>
    <row r="244" spans="1:18" x14ac:dyDescent="0.25">
      <c r="A244" t="s">
        <v>2536</v>
      </c>
      <c r="B244" t="s">
        <v>149</v>
      </c>
      <c r="C244" s="32" t="s">
        <v>605</v>
      </c>
      <c r="D244" t="s">
        <v>146</v>
      </c>
      <c r="E244" s="54">
        <v>1600.8</v>
      </c>
      <c r="F244" s="54">
        <v>1454.25</v>
      </c>
      <c r="G244" s="54">
        <v>3545.75</v>
      </c>
      <c r="H244" s="54">
        <v>0</v>
      </c>
      <c r="I244" t="s">
        <v>2881</v>
      </c>
      <c r="J244" s="31">
        <v>1454.25</v>
      </c>
      <c r="K244" s="36" t="s">
        <v>1306</v>
      </c>
      <c r="L244" t="s">
        <v>2504</v>
      </c>
      <c r="M244" t="s">
        <v>1918</v>
      </c>
      <c r="N244" t="s">
        <v>1919</v>
      </c>
      <c r="O244" t="s">
        <v>67</v>
      </c>
      <c r="Q244" s="23">
        <v>46274.866391550924</v>
      </c>
      <c r="R244" s="32">
        <f>IF(OR(tbl_de_massas[[#This Row],[dia_vencimento]]="", tbl_de_massas[[#This Row],[dia_vencimento]]="--"), "", WORKDAY(tbl_de_massas[[#This Row],[dia_vencimento]], 5))</f>
        <v>17</v>
      </c>
    </row>
    <row r="245" spans="1:18" x14ac:dyDescent="0.25">
      <c r="A245" t="s">
        <v>2537</v>
      </c>
      <c r="B245" t="s">
        <v>164</v>
      </c>
      <c r="C245" s="32" t="s">
        <v>605</v>
      </c>
      <c r="D245" t="s">
        <v>161</v>
      </c>
      <c r="E245" s="54">
        <v>1840.8</v>
      </c>
      <c r="F245" s="54">
        <v>1214.25</v>
      </c>
      <c r="G245" s="54">
        <v>3785.75</v>
      </c>
      <c r="H245" s="54">
        <v>0</v>
      </c>
      <c r="I245" t="s">
        <v>2881</v>
      </c>
      <c r="J245" s="31">
        <v>1214.25</v>
      </c>
      <c r="K245" s="36" t="s">
        <v>1306</v>
      </c>
      <c r="L245" t="s">
        <v>2504</v>
      </c>
      <c r="M245" t="s">
        <v>2073</v>
      </c>
      <c r="N245" t="s">
        <v>2074</v>
      </c>
      <c r="O245" t="s">
        <v>67</v>
      </c>
      <c r="Q245" s="23">
        <v>46274.874759479164</v>
      </c>
      <c r="R245" s="32">
        <f>IF(OR(tbl_de_massas[[#This Row],[dia_vencimento]]="", tbl_de_massas[[#This Row],[dia_vencimento]]="--"), "", WORKDAY(tbl_de_massas[[#This Row],[dia_vencimento]], 5))</f>
        <v>17</v>
      </c>
    </row>
    <row r="246" spans="1:18" x14ac:dyDescent="0.25">
      <c r="A246" t="s">
        <v>2538</v>
      </c>
      <c r="B246" t="s">
        <v>193</v>
      </c>
      <c r="C246" s="32" t="s">
        <v>605</v>
      </c>
      <c r="D246" t="s">
        <v>190</v>
      </c>
      <c r="E246" s="54">
        <v>2047.97</v>
      </c>
      <c r="F246" s="54">
        <v>1294.25</v>
      </c>
      <c r="G246" s="54">
        <v>3705.75</v>
      </c>
      <c r="H246" s="54">
        <v>0</v>
      </c>
      <c r="I246" t="s">
        <v>2881</v>
      </c>
      <c r="J246" s="31">
        <v>1294.25</v>
      </c>
      <c r="K246" s="36" t="s">
        <v>1306</v>
      </c>
      <c r="L246" t="s">
        <v>2504</v>
      </c>
      <c r="M246" t="s">
        <v>2037</v>
      </c>
      <c r="N246" t="s">
        <v>2038</v>
      </c>
      <c r="O246" t="s">
        <v>67</v>
      </c>
      <c r="Q246" s="23">
        <v>46274.880745706017</v>
      </c>
      <c r="R246" s="32">
        <f>IF(OR(tbl_de_massas[[#This Row],[dia_vencimento]]="", tbl_de_massas[[#This Row],[dia_vencimento]]="--"), "", WORKDAY(tbl_de_massas[[#This Row],[dia_vencimento]], 5))</f>
        <v>17</v>
      </c>
    </row>
    <row r="247" spans="1:18" x14ac:dyDescent="0.25">
      <c r="A247" t="s">
        <v>2539</v>
      </c>
      <c r="B247" t="s">
        <v>179</v>
      </c>
      <c r="C247" s="32" t="s">
        <v>605</v>
      </c>
      <c r="D247" t="s">
        <v>176</v>
      </c>
      <c r="E247" s="54">
        <v>2321.84</v>
      </c>
      <c r="F247" s="54">
        <v>1055.05</v>
      </c>
      <c r="G247" s="54">
        <v>3944.95</v>
      </c>
      <c r="H247" s="54">
        <v>0</v>
      </c>
      <c r="I247" t="s">
        <v>2881</v>
      </c>
      <c r="J247" s="31">
        <v>1055.05</v>
      </c>
      <c r="K247" s="36" t="s">
        <v>1306</v>
      </c>
      <c r="L247" t="s">
        <v>2504</v>
      </c>
      <c r="M247" t="s">
        <v>1361</v>
      </c>
      <c r="N247" t="s">
        <v>1327</v>
      </c>
      <c r="O247" t="s">
        <v>67</v>
      </c>
      <c r="Q247" s="23">
        <v>46274.901166759257</v>
      </c>
      <c r="R247" s="32">
        <f>IF(OR(tbl_de_massas[[#This Row],[dia_vencimento]]="", tbl_de_massas[[#This Row],[dia_vencimento]]="--"), "", WORKDAY(tbl_de_massas[[#This Row],[dia_vencimento]], 5))</f>
        <v>17</v>
      </c>
    </row>
    <row r="248" spans="1:18" x14ac:dyDescent="0.25">
      <c r="A248" t="s">
        <v>2540</v>
      </c>
      <c r="B248" t="s">
        <v>206</v>
      </c>
      <c r="C248" s="32" t="s">
        <v>605</v>
      </c>
      <c r="D248" t="s">
        <v>203</v>
      </c>
      <c r="E248" s="54">
        <v>2000</v>
      </c>
      <c r="F248" s="54">
        <v>1055.05</v>
      </c>
      <c r="G248" s="54">
        <v>3944.95</v>
      </c>
      <c r="H248" s="54">
        <v>0</v>
      </c>
      <c r="I248" t="s">
        <v>2881</v>
      </c>
      <c r="J248" s="31">
        <v>1055.05</v>
      </c>
      <c r="K248" s="36" t="s">
        <v>1306</v>
      </c>
      <c r="L248" t="s">
        <v>2504</v>
      </c>
      <c r="M248" t="s">
        <v>1844</v>
      </c>
      <c r="N248" t="s">
        <v>1453</v>
      </c>
      <c r="O248" t="s">
        <v>67</v>
      </c>
      <c r="Q248" s="23">
        <v>46274.922464618059</v>
      </c>
      <c r="R248" s="32">
        <f>IF(OR(tbl_de_massas[[#This Row],[dia_vencimento]]="", tbl_de_massas[[#This Row],[dia_vencimento]]="--"), "", WORKDAY(tbl_de_massas[[#This Row],[dia_vencimento]], 5))</f>
        <v>17</v>
      </c>
    </row>
    <row r="249" spans="1:18" x14ac:dyDescent="0.25">
      <c r="A249" t="s">
        <v>2541</v>
      </c>
      <c r="B249" t="s">
        <v>220</v>
      </c>
      <c r="C249" s="32" t="s">
        <v>605</v>
      </c>
      <c r="D249" t="s">
        <v>217</v>
      </c>
      <c r="E249" s="54">
        <v>1840.8</v>
      </c>
      <c r="F249" s="54">
        <v>1933.45</v>
      </c>
      <c r="G249" s="54">
        <v>3066.55</v>
      </c>
      <c r="H249" s="54">
        <v>0</v>
      </c>
      <c r="I249" t="s">
        <v>2881</v>
      </c>
      <c r="J249" s="31">
        <v>1933.45</v>
      </c>
      <c r="K249" s="36" t="s">
        <v>1306</v>
      </c>
      <c r="L249" t="s">
        <v>2504</v>
      </c>
      <c r="M249" t="s">
        <v>2026</v>
      </c>
      <c r="N249" t="s">
        <v>2027</v>
      </c>
      <c r="O249" t="s">
        <v>2028</v>
      </c>
      <c r="P249" t="s">
        <v>2029</v>
      </c>
      <c r="Q249" s="23">
        <v>46274.944994768521</v>
      </c>
      <c r="R249" s="32">
        <f>IF(OR(tbl_de_massas[[#This Row],[dia_vencimento]]="", tbl_de_massas[[#This Row],[dia_vencimento]]="--"), "", WORKDAY(tbl_de_massas[[#This Row],[dia_vencimento]], 5))</f>
        <v>17</v>
      </c>
    </row>
    <row r="250" spans="1:18" x14ac:dyDescent="0.25">
      <c r="A250" t="s">
        <v>2542</v>
      </c>
      <c r="B250" t="s">
        <v>234</v>
      </c>
      <c r="C250" s="32" t="s">
        <v>605</v>
      </c>
      <c r="D250" t="s">
        <v>231</v>
      </c>
      <c r="E250" s="54">
        <v>2000</v>
      </c>
      <c r="F250" s="54">
        <v>1774.25</v>
      </c>
      <c r="G250" s="54">
        <v>3225.75</v>
      </c>
      <c r="H250" s="54">
        <v>0</v>
      </c>
      <c r="I250" t="s">
        <v>2881</v>
      </c>
      <c r="J250" s="31">
        <v>1774.25</v>
      </c>
      <c r="K250" s="36" t="s">
        <v>1306</v>
      </c>
      <c r="L250" t="s">
        <v>2504</v>
      </c>
      <c r="M250" t="s">
        <v>1940</v>
      </c>
      <c r="N250" t="s">
        <v>1941</v>
      </c>
      <c r="O250" t="s">
        <v>67</v>
      </c>
      <c r="Q250" s="23">
        <v>46274.949902511573</v>
      </c>
      <c r="R250" s="32">
        <f>IF(OR(tbl_de_massas[[#This Row],[dia_vencimento]]="", tbl_de_massas[[#This Row],[dia_vencimento]]="--"), "", WORKDAY(tbl_de_massas[[#This Row],[dia_vencimento]], 5))</f>
        <v>17</v>
      </c>
    </row>
    <row r="251" spans="1:18" x14ac:dyDescent="0.25">
      <c r="A251" t="s">
        <v>2543</v>
      </c>
      <c r="B251" t="s">
        <v>248</v>
      </c>
      <c r="C251" s="32" t="s">
        <v>605</v>
      </c>
      <c r="D251" t="s">
        <v>245</v>
      </c>
      <c r="E251" s="54">
        <v>1678.16</v>
      </c>
      <c r="F251" s="54">
        <v>755.05</v>
      </c>
      <c r="G251" s="54">
        <v>4244.95</v>
      </c>
      <c r="H251" s="54">
        <v>0</v>
      </c>
      <c r="I251" t="s">
        <v>2881</v>
      </c>
      <c r="J251" s="31">
        <v>755.05</v>
      </c>
      <c r="K251" s="36" t="s">
        <v>1306</v>
      </c>
      <c r="L251" t="s">
        <v>2504</v>
      </c>
      <c r="M251" t="s">
        <v>1359</v>
      </c>
      <c r="N251" t="s">
        <v>1360</v>
      </c>
      <c r="O251" t="s">
        <v>67</v>
      </c>
      <c r="Q251" s="23">
        <v>46274.973782199071</v>
      </c>
      <c r="R251" s="32">
        <f>IF(OR(tbl_de_massas[[#This Row],[dia_vencimento]]="", tbl_de_massas[[#This Row],[dia_vencimento]]="--"), "", WORKDAY(tbl_de_massas[[#This Row],[dia_vencimento]], 5))</f>
        <v>17</v>
      </c>
    </row>
    <row r="252" spans="1:18" x14ac:dyDescent="0.25">
      <c r="A252" t="s">
        <v>2544</v>
      </c>
      <c r="B252" t="s">
        <v>394</v>
      </c>
      <c r="C252" s="32" t="s">
        <v>605</v>
      </c>
      <c r="D252" t="s">
        <v>391</v>
      </c>
      <c r="E252" s="54">
        <v>2000</v>
      </c>
      <c r="F252" s="54">
        <v>1474.25</v>
      </c>
      <c r="G252" s="54">
        <v>3525.75</v>
      </c>
      <c r="H252" s="54">
        <v>0</v>
      </c>
      <c r="I252" t="s">
        <v>2881</v>
      </c>
      <c r="J252" s="31">
        <v>1474.25</v>
      </c>
      <c r="K252" s="36" t="s">
        <v>1306</v>
      </c>
      <c r="L252" t="s">
        <v>2504</v>
      </c>
      <c r="M252" t="s">
        <v>1998</v>
      </c>
      <c r="N252" t="s">
        <v>1999</v>
      </c>
      <c r="O252" t="s">
        <v>67</v>
      </c>
      <c r="Q252" s="23">
        <v>46274.981324664353</v>
      </c>
      <c r="R252" s="32">
        <f>IF(OR(tbl_de_massas[[#This Row],[dia_vencimento]]="", tbl_de_massas[[#This Row],[dia_vencimento]]="--"), "", WORKDAY(tbl_de_massas[[#This Row],[dia_vencimento]], 5))</f>
        <v>17</v>
      </c>
    </row>
    <row r="253" spans="1:18" x14ac:dyDescent="0.25">
      <c r="A253" t="s">
        <v>2545</v>
      </c>
      <c r="B253" t="s">
        <v>261</v>
      </c>
      <c r="C253" s="32" t="s">
        <v>605</v>
      </c>
      <c r="D253" t="s">
        <v>258</v>
      </c>
      <c r="E253" s="54">
        <v>2000</v>
      </c>
      <c r="F253" s="54">
        <v>390.21</v>
      </c>
      <c r="G253" s="54">
        <v>4609.79</v>
      </c>
      <c r="H253" s="54">
        <v>0</v>
      </c>
      <c r="I253" t="s">
        <v>2881</v>
      </c>
      <c r="J253" s="31">
        <v>390.21</v>
      </c>
      <c r="K253" s="36" t="s">
        <v>1306</v>
      </c>
      <c r="L253" t="s">
        <v>2504</v>
      </c>
      <c r="M253" t="s">
        <v>1706</v>
      </c>
      <c r="N253" t="s">
        <v>1707</v>
      </c>
      <c r="O253" t="s">
        <v>67</v>
      </c>
      <c r="Q253" s="23">
        <v>46274.991066493058</v>
      </c>
      <c r="R253" s="32">
        <f>IF(OR(tbl_de_massas[[#This Row],[dia_vencimento]]="", tbl_de_massas[[#This Row],[dia_vencimento]]="--"), "", WORKDAY(tbl_de_massas[[#This Row],[dia_vencimento]], 5))</f>
        <v>17</v>
      </c>
    </row>
    <row r="254" spans="1:18" x14ac:dyDescent="0.25">
      <c r="A254" t="s">
        <v>2546</v>
      </c>
      <c r="B254" t="s">
        <v>274</v>
      </c>
      <c r="C254" s="32" t="s">
        <v>605</v>
      </c>
      <c r="D254" t="s">
        <v>271</v>
      </c>
      <c r="E254" s="54">
        <v>2000</v>
      </c>
      <c r="F254" s="54">
        <v>209.3</v>
      </c>
      <c r="G254" s="54">
        <v>4790.7</v>
      </c>
      <c r="H254" s="54">
        <v>0</v>
      </c>
      <c r="I254" t="s">
        <v>2881</v>
      </c>
      <c r="J254" s="31">
        <v>209.3</v>
      </c>
      <c r="K254" s="36" t="s">
        <v>1306</v>
      </c>
      <c r="L254" t="s">
        <v>2504</v>
      </c>
      <c r="M254" t="s">
        <v>2547</v>
      </c>
      <c r="N254" t="s">
        <v>2548</v>
      </c>
      <c r="O254" t="s">
        <v>67</v>
      </c>
      <c r="Q254" s="23">
        <v>46275.50468607639</v>
      </c>
      <c r="R254" s="32">
        <f>IF(OR(tbl_de_massas[[#This Row],[dia_vencimento]]="", tbl_de_massas[[#This Row],[dia_vencimento]]="--"), "", WORKDAY(tbl_de_massas[[#This Row],[dia_vencimento]], 5))</f>
        <v>17</v>
      </c>
    </row>
    <row r="255" spans="1:18" x14ac:dyDescent="0.25">
      <c r="A255" t="s">
        <v>2549</v>
      </c>
      <c r="B255" t="s">
        <v>287</v>
      </c>
      <c r="C255" s="32" t="s">
        <v>605</v>
      </c>
      <c r="D255" t="s">
        <v>284</v>
      </c>
      <c r="E255" s="54">
        <v>2000</v>
      </c>
      <c r="F255" s="54">
        <v>209.3</v>
      </c>
      <c r="G255" s="54">
        <v>4790.7</v>
      </c>
      <c r="H255" s="54">
        <v>0</v>
      </c>
      <c r="I255" t="s">
        <v>2881</v>
      </c>
      <c r="J255" s="31">
        <v>209.3</v>
      </c>
      <c r="K255" s="36" t="s">
        <v>1306</v>
      </c>
      <c r="L255" t="s">
        <v>2504</v>
      </c>
      <c r="M255" t="s">
        <v>2550</v>
      </c>
      <c r="N255" t="s">
        <v>2551</v>
      </c>
      <c r="O255" t="s">
        <v>67</v>
      </c>
      <c r="Q255" s="23">
        <v>46275.511498888889</v>
      </c>
      <c r="R255" s="32">
        <f>IF(OR(tbl_de_massas[[#This Row],[dia_vencimento]]="", tbl_de_massas[[#This Row],[dia_vencimento]]="--"), "", WORKDAY(tbl_de_massas[[#This Row],[dia_vencimento]], 5))</f>
        <v>17</v>
      </c>
    </row>
    <row r="256" spans="1:18" x14ac:dyDescent="0.25">
      <c r="A256" t="s">
        <v>2552</v>
      </c>
      <c r="B256" t="s">
        <v>327</v>
      </c>
      <c r="C256" s="32" t="s">
        <v>605</v>
      </c>
      <c r="D256" t="s">
        <v>324</v>
      </c>
      <c r="E256" s="54">
        <v>2000</v>
      </c>
      <c r="F256" s="54">
        <v>0</v>
      </c>
      <c r="G256" s="54">
        <v>5000</v>
      </c>
      <c r="H256" s="54">
        <v>0</v>
      </c>
      <c r="I256" t="s">
        <v>2881</v>
      </c>
      <c r="J256" s="31">
        <v>0</v>
      </c>
      <c r="K256" s="36" t="s">
        <v>1306</v>
      </c>
      <c r="L256" t="s">
        <v>2504</v>
      </c>
      <c r="M256" t="s">
        <v>67</v>
      </c>
      <c r="O256" t="s">
        <v>67</v>
      </c>
      <c r="Q256" s="23">
        <v>46276.623914490738</v>
      </c>
      <c r="R256" s="32">
        <f>IF(OR(tbl_de_massas[[#This Row],[dia_vencimento]]="", tbl_de_massas[[#This Row],[dia_vencimento]]="--"), "", WORKDAY(tbl_de_massas[[#This Row],[dia_vencimento]], 5))</f>
        <v>17</v>
      </c>
    </row>
    <row r="257" spans="1:18" x14ac:dyDescent="0.25">
      <c r="A257" t="s">
        <v>2553</v>
      </c>
      <c r="B257" t="s">
        <v>300</v>
      </c>
      <c r="C257" s="32" t="s">
        <v>605</v>
      </c>
      <c r="D257" t="s">
        <v>297</v>
      </c>
      <c r="E257" s="54">
        <v>1700.6</v>
      </c>
      <c r="F257" s="54">
        <v>299.39999999999998</v>
      </c>
      <c r="G257" s="54">
        <v>4700.6000000000004</v>
      </c>
      <c r="H257" s="54">
        <v>0</v>
      </c>
      <c r="I257" t="s">
        <v>2881</v>
      </c>
      <c r="J257" s="31">
        <v>299.39999999999998</v>
      </c>
      <c r="K257" s="36" t="s">
        <v>1306</v>
      </c>
      <c r="L257" t="s">
        <v>2504</v>
      </c>
      <c r="M257" t="s">
        <v>67</v>
      </c>
      <c r="O257" t="s">
        <v>67</v>
      </c>
      <c r="Q257" s="23">
        <v>46276.628953796295</v>
      </c>
      <c r="R257" s="32">
        <f>IF(OR(tbl_de_massas[[#This Row],[dia_vencimento]]="", tbl_de_massas[[#This Row],[dia_vencimento]]="--"), "", WORKDAY(tbl_de_massas[[#This Row],[dia_vencimento]], 5))</f>
        <v>17</v>
      </c>
    </row>
    <row r="258" spans="1:18" x14ac:dyDescent="0.25">
      <c r="A258" t="s">
        <v>2554</v>
      </c>
      <c r="B258" t="s">
        <v>2555</v>
      </c>
      <c r="C258" s="32" t="s">
        <v>605</v>
      </c>
      <c r="D258" t="s">
        <v>2556</v>
      </c>
      <c r="E258" s="54">
        <v>2000</v>
      </c>
      <c r="F258" s="54">
        <v>4752.6099999999997</v>
      </c>
      <c r="G258" s="54">
        <v>15247.39</v>
      </c>
      <c r="H258" s="54">
        <v>3870.86</v>
      </c>
      <c r="I258" t="s">
        <v>2877</v>
      </c>
      <c r="J258" s="31">
        <v>4752.6099999999997</v>
      </c>
      <c r="K258" s="36" t="s">
        <v>608</v>
      </c>
      <c r="L258" t="s">
        <v>2502</v>
      </c>
      <c r="M258" t="s">
        <v>2557</v>
      </c>
      <c r="N258" t="s">
        <v>1341</v>
      </c>
      <c r="O258" t="s">
        <v>67</v>
      </c>
      <c r="Q258" s="23">
        <v>46277.580545358796</v>
      </c>
      <c r="R258" s="32">
        <f>IF(OR(tbl_de_massas[[#This Row],[dia_vencimento]]="", tbl_de_massas[[#This Row],[dia_vencimento]]="--"), "", WORKDAY(tbl_de_massas[[#This Row],[dia_vencimento]], 5))</f>
        <v>17</v>
      </c>
    </row>
    <row r="259" spans="1:18" x14ac:dyDescent="0.25">
      <c r="A259" t="s">
        <v>2559</v>
      </c>
      <c r="B259" t="s">
        <v>2560</v>
      </c>
      <c r="C259" s="32" t="s">
        <v>608</v>
      </c>
      <c r="D259" t="s">
        <v>1559</v>
      </c>
      <c r="E259" s="54">
        <v>2502.21</v>
      </c>
      <c r="F259" s="54">
        <v>5120.83</v>
      </c>
      <c r="G259" s="54">
        <v>9204.17</v>
      </c>
      <c r="H259" s="54">
        <v>3870.86</v>
      </c>
      <c r="I259" t="s">
        <v>2877</v>
      </c>
      <c r="J259" s="31">
        <v>5120.83</v>
      </c>
      <c r="K259" s="36" t="s">
        <v>5835</v>
      </c>
      <c r="L259" t="s">
        <v>2502</v>
      </c>
      <c r="M259" t="s">
        <v>2561</v>
      </c>
      <c r="N259" t="s">
        <v>1345</v>
      </c>
      <c r="O259" t="s">
        <v>67</v>
      </c>
      <c r="Q259" s="23">
        <v>46279.826091655093</v>
      </c>
      <c r="R259" s="32">
        <f>IF(OR(tbl_de_massas[[#This Row],[dia_vencimento]]="", tbl_de_massas[[#This Row],[dia_vencimento]]="--"), "", WORKDAY(tbl_de_massas[[#This Row],[dia_vencimento]], 5))</f>
        <v>27</v>
      </c>
    </row>
    <row r="260" spans="1:18" x14ac:dyDescent="0.25">
      <c r="A260" t="s">
        <v>2562</v>
      </c>
      <c r="B260" t="s">
        <v>2563</v>
      </c>
      <c r="C260" s="32" t="s">
        <v>605</v>
      </c>
      <c r="D260" t="s">
        <v>2052</v>
      </c>
      <c r="E260" s="54">
        <v>3966.78</v>
      </c>
      <c r="F260" s="54">
        <v>4773.32</v>
      </c>
      <c r="G260" s="54">
        <v>10035.51</v>
      </c>
      <c r="H260" s="54">
        <v>3870.86</v>
      </c>
      <c r="I260" t="s">
        <v>2877</v>
      </c>
      <c r="J260" s="31">
        <v>4773.32</v>
      </c>
      <c r="K260" s="36" t="s">
        <v>5835</v>
      </c>
      <c r="L260" t="s">
        <v>2502</v>
      </c>
      <c r="M260" t="s">
        <v>2564</v>
      </c>
      <c r="N260" t="s">
        <v>1341</v>
      </c>
      <c r="O260" t="s">
        <v>67</v>
      </c>
      <c r="Q260" s="23">
        <v>46279.826197604169</v>
      </c>
      <c r="R260" s="32">
        <f>IF(OR(tbl_de_massas[[#This Row],[dia_vencimento]]="", tbl_de_massas[[#This Row],[dia_vencimento]]="--"), "", WORKDAY(tbl_de_massas[[#This Row],[dia_vencimento]], 5))</f>
        <v>17</v>
      </c>
    </row>
    <row r="261" spans="1:18" x14ac:dyDescent="0.25">
      <c r="A261" t="s">
        <v>2565</v>
      </c>
      <c r="B261" t="s">
        <v>2566</v>
      </c>
      <c r="C261" s="32" t="s">
        <v>605</v>
      </c>
      <c r="D261" t="s">
        <v>2071</v>
      </c>
      <c r="E261" s="54">
        <v>6175.33</v>
      </c>
      <c r="F261" s="54">
        <v>4981.05</v>
      </c>
      <c r="G261" s="54">
        <v>-2957.67</v>
      </c>
      <c r="H261" s="54">
        <v>3870.86</v>
      </c>
      <c r="I261" t="s">
        <v>2877</v>
      </c>
      <c r="J261" s="31">
        <v>4981.05</v>
      </c>
      <c r="K261" s="36" t="s">
        <v>5835</v>
      </c>
      <c r="L261" t="s">
        <v>2502</v>
      </c>
      <c r="M261" t="s">
        <v>2567</v>
      </c>
      <c r="N261" t="s">
        <v>1341</v>
      </c>
      <c r="O261" t="s">
        <v>67</v>
      </c>
      <c r="Q261" s="23">
        <v>46279.826284664348</v>
      </c>
      <c r="R261" s="32">
        <f>IF(OR(tbl_de_massas[[#This Row],[dia_vencimento]]="", tbl_de_massas[[#This Row],[dia_vencimento]]="--"), "", WORKDAY(tbl_de_massas[[#This Row],[dia_vencimento]], 5))</f>
        <v>17</v>
      </c>
    </row>
    <row r="262" spans="1:18" x14ac:dyDescent="0.25">
      <c r="A262" t="s">
        <v>2568</v>
      </c>
      <c r="B262" t="s">
        <v>2569</v>
      </c>
      <c r="C262" s="32" t="s">
        <v>607</v>
      </c>
      <c r="D262" t="s">
        <v>1814</v>
      </c>
      <c r="E262" s="54">
        <v>5754.36</v>
      </c>
      <c r="F262" s="54">
        <v>4869.28</v>
      </c>
      <c r="G262" s="54">
        <v>11199.47</v>
      </c>
      <c r="H262" s="54">
        <v>3870.86</v>
      </c>
      <c r="I262" t="s">
        <v>2877</v>
      </c>
      <c r="J262" s="31">
        <v>4869.28</v>
      </c>
      <c r="K262" s="36" t="s">
        <v>5835</v>
      </c>
      <c r="L262" t="s">
        <v>2502</v>
      </c>
      <c r="M262" t="s">
        <v>2570</v>
      </c>
      <c r="N262" t="s">
        <v>1345</v>
      </c>
      <c r="O262" t="s">
        <v>67</v>
      </c>
      <c r="Q262" s="23">
        <v>46279.827236296296</v>
      </c>
      <c r="R262" s="32">
        <f>IF(OR(tbl_de_massas[[#This Row],[dia_vencimento]]="", tbl_de_massas[[#This Row],[dia_vencimento]]="--"), "", WORKDAY(tbl_de_massas[[#This Row],[dia_vencimento]], 5))</f>
        <v>20</v>
      </c>
    </row>
    <row r="263" spans="1:18" x14ac:dyDescent="0.25">
      <c r="A263" t="s">
        <v>2571</v>
      </c>
      <c r="B263" t="s">
        <v>2572</v>
      </c>
      <c r="C263" s="32" t="s">
        <v>611</v>
      </c>
      <c r="D263" t="s">
        <v>2035</v>
      </c>
      <c r="E263" s="54">
        <v>567.29</v>
      </c>
      <c r="F263" s="54">
        <v>5031.76</v>
      </c>
      <c r="G263" s="54">
        <v>2455.0100000000002</v>
      </c>
      <c r="H263" s="54">
        <v>3870.86</v>
      </c>
      <c r="I263" t="s">
        <v>2877</v>
      </c>
      <c r="J263" s="31">
        <v>5031.76</v>
      </c>
      <c r="K263" s="36" t="s">
        <v>5835</v>
      </c>
      <c r="L263" t="s">
        <v>2502</v>
      </c>
      <c r="M263" t="s">
        <v>2573</v>
      </c>
      <c r="N263" t="s">
        <v>1341</v>
      </c>
      <c r="O263" t="s">
        <v>67</v>
      </c>
      <c r="Q263" s="23">
        <v>46279.829223101849</v>
      </c>
      <c r="R263" s="32">
        <f>IF(OR(tbl_de_massas[[#This Row],[dia_vencimento]]="", tbl_de_massas[[#This Row],[dia_vencimento]]="--"), "", WORKDAY(tbl_de_massas[[#This Row],[dia_vencimento]], 5))</f>
        <v>32</v>
      </c>
    </row>
    <row r="264" spans="1:18" x14ac:dyDescent="0.25">
      <c r="A264" t="s">
        <v>2574</v>
      </c>
      <c r="B264" t="s">
        <v>2575</v>
      </c>
      <c r="C264" s="32" t="s">
        <v>611</v>
      </c>
      <c r="D264" t="s">
        <v>1699</v>
      </c>
      <c r="E264" s="54">
        <v>3905.32</v>
      </c>
      <c r="F264" s="54">
        <v>4693.1400000000003</v>
      </c>
      <c r="G264" s="54">
        <v>2123.75</v>
      </c>
      <c r="H264" s="54">
        <v>3870.86</v>
      </c>
      <c r="I264" t="s">
        <v>2877</v>
      </c>
      <c r="J264" s="31">
        <v>4693.1400000000003</v>
      </c>
      <c r="K264" s="36" t="s">
        <v>5835</v>
      </c>
      <c r="L264" t="s">
        <v>2502</v>
      </c>
      <c r="M264" t="s">
        <v>2576</v>
      </c>
      <c r="N264" t="s">
        <v>1341</v>
      </c>
      <c r="O264" t="s">
        <v>67</v>
      </c>
      <c r="Q264" s="23">
        <v>46279.829410069447</v>
      </c>
      <c r="R264" s="32">
        <f>IF(OR(tbl_de_massas[[#This Row],[dia_vencimento]]="", tbl_de_massas[[#This Row],[dia_vencimento]]="--"), "", WORKDAY(tbl_de_massas[[#This Row],[dia_vencimento]], 5))</f>
        <v>32</v>
      </c>
    </row>
    <row r="265" spans="1:18" x14ac:dyDescent="0.25">
      <c r="A265" t="s">
        <v>2577</v>
      </c>
      <c r="B265" t="s">
        <v>2578</v>
      </c>
      <c r="C265" s="32" t="s">
        <v>608</v>
      </c>
      <c r="D265" t="s">
        <v>1755</v>
      </c>
      <c r="E265" s="54">
        <v>9847.59</v>
      </c>
      <c r="F265" s="54">
        <v>4700.42</v>
      </c>
      <c r="G265" s="54">
        <v>14.85</v>
      </c>
      <c r="H265" s="54">
        <v>3870.86</v>
      </c>
      <c r="I265" t="s">
        <v>2877</v>
      </c>
      <c r="J265" s="31">
        <v>4700.42</v>
      </c>
      <c r="K265" s="36" t="s">
        <v>5835</v>
      </c>
      <c r="L265" t="s">
        <v>2502</v>
      </c>
      <c r="M265" t="s">
        <v>2579</v>
      </c>
      <c r="N265" t="s">
        <v>1341</v>
      </c>
      <c r="O265" t="s">
        <v>67</v>
      </c>
      <c r="Q265" s="23">
        <v>46279.829533750002</v>
      </c>
      <c r="R265" s="32">
        <f>IF(OR(tbl_de_massas[[#This Row],[dia_vencimento]]="", tbl_de_massas[[#This Row],[dia_vencimento]]="--"), "", WORKDAY(tbl_de_massas[[#This Row],[dia_vencimento]], 5))</f>
        <v>27</v>
      </c>
    </row>
    <row r="266" spans="1:18" x14ac:dyDescent="0.25">
      <c r="A266" t="s">
        <v>2580</v>
      </c>
      <c r="B266" t="s">
        <v>2581</v>
      </c>
      <c r="C266" s="32" t="s">
        <v>607</v>
      </c>
      <c r="D266" t="s">
        <v>2116</v>
      </c>
      <c r="E266" s="54">
        <v>3862.21</v>
      </c>
      <c r="F266" s="54">
        <v>4702.96</v>
      </c>
      <c r="G266" s="54">
        <v>5590.49</v>
      </c>
      <c r="H266" s="54">
        <v>3870.86</v>
      </c>
      <c r="I266" t="s">
        <v>2877</v>
      </c>
      <c r="J266" s="31">
        <v>4702.96</v>
      </c>
      <c r="K266" s="36" t="s">
        <v>5835</v>
      </c>
      <c r="L266" t="s">
        <v>2502</v>
      </c>
      <c r="M266" t="s">
        <v>2582</v>
      </c>
      <c r="N266" t="s">
        <v>1341</v>
      </c>
      <c r="O266" t="s">
        <v>67</v>
      </c>
      <c r="Q266" s="23">
        <v>46279.829615057868</v>
      </c>
      <c r="R266" s="32">
        <f>IF(OR(tbl_de_massas[[#This Row],[dia_vencimento]]="", tbl_de_massas[[#This Row],[dia_vencimento]]="--"), "", WORKDAY(tbl_de_massas[[#This Row],[dia_vencimento]], 5))</f>
        <v>20</v>
      </c>
    </row>
    <row r="267" spans="1:18" x14ac:dyDescent="0.25">
      <c r="A267" t="s">
        <v>2583</v>
      </c>
      <c r="B267" t="s">
        <v>2584</v>
      </c>
      <c r="C267" s="32" t="s">
        <v>611</v>
      </c>
      <c r="D267" t="s">
        <v>1977</v>
      </c>
      <c r="E267" s="54">
        <v>10451.68</v>
      </c>
      <c r="F267" s="54">
        <v>4258.9399999999996</v>
      </c>
      <c r="G267" s="54">
        <v>14013.27</v>
      </c>
      <c r="H267" s="54">
        <v>3870.86</v>
      </c>
      <c r="I267" t="s">
        <v>2877</v>
      </c>
      <c r="J267" s="31">
        <v>4258.9399999999996</v>
      </c>
      <c r="K267" s="36" t="s">
        <v>1306</v>
      </c>
      <c r="L267" t="s">
        <v>2504</v>
      </c>
      <c r="M267" t="s">
        <v>2585</v>
      </c>
      <c r="N267" t="s">
        <v>1341</v>
      </c>
      <c r="O267" t="s">
        <v>67</v>
      </c>
      <c r="Q267" s="23">
        <v>46279.834082905094</v>
      </c>
      <c r="R267" s="32">
        <f>IF(OR(tbl_de_massas[[#This Row],[dia_vencimento]]="", tbl_de_massas[[#This Row],[dia_vencimento]]="--"), "", WORKDAY(tbl_de_massas[[#This Row],[dia_vencimento]], 5))</f>
        <v>32</v>
      </c>
    </row>
    <row r="268" spans="1:18" x14ac:dyDescent="0.25">
      <c r="A268" t="s">
        <v>2586</v>
      </c>
      <c r="B268" t="s">
        <v>2587</v>
      </c>
      <c r="C268" s="32" t="s">
        <v>608</v>
      </c>
      <c r="D268" t="s">
        <v>2127</v>
      </c>
      <c r="E268" s="54">
        <v>5947.09</v>
      </c>
      <c r="F268" s="54">
        <v>4045.99</v>
      </c>
      <c r="G268" s="54">
        <v>1117.02</v>
      </c>
      <c r="H268" s="54">
        <v>3870.86</v>
      </c>
      <c r="I268" t="s">
        <v>2877</v>
      </c>
      <c r="J268" s="31">
        <v>4045.99</v>
      </c>
      <c r="K268" s="36" t="s">
        <v>1306</v>
      </c>
      <c r="L268" t="s">
        <v>2504</v>
      </c>
      <c r="M268" t="s">
        <v>2588</v>
      </c>
      <c r="N268" t="s">
        <v>1341</v>
      </c>
      <c r="O268" t="s">
        <v>67</v>
      </c>
      <c r="Q268" s="23">
        <v>46279.834206678242</v>
      </c>
      <c r="R268" s="32">
        <f>IF(OR(tbl_de_massas[[#This Row],[dia_vencimento]]="", tbl_de_massas[[#This Row],[dia_vencimento]]="--"), "", WORKDAY(tbl_de_massas[[#This Row],[dia_vencimento]], 5))</f>
        <v>27</v>
      </c>
    </row>
    <row r="269" spans="1:18" x14ac:dyDescent="0.25">
      <c r="A269" t="s">
        <v>2589</v>
      </c>
      <c r="B269" t="s">
        <v>2590</v>
      </c>
      <c r="C269" s="32" t="s">
        <v>608</v>
      </c>
      <c r="D269" t="s">
        <v>2059</v>
      </c>
      <c r="E269" s="54">
        <v>11140.65</v>
      </c>
      <c r="F269" s="54">
        <v>5033.9799999999996</v>
      </c>
      <c r="G269" s="54">
        <v>1671.04</v>
      </c>
      <c r="H269" s="54">
        <v>3870.86</v>
      </c>
      <c r="I269" t="s">
        <v>2877</v>
      </c>
      <c r="J269" s="31">
        <v>5033.9799999999996</v>
      </c>
      <c r="K269" s="36" t="s">
        <v>5835</v>
      </c>
      <c r="L269" t="s">
        <v>2502</v>
      </c>
      <c r="M269" t="s">
        <v>67</v>
      </c>
      <c r="O269" t="s">
        <v>2591</v>
      </c>
      <c r="P269" t="s">
        <v>1341</v>
      </c>
      <c r="Q269" s="23">
        <v>46279.838397962965</v>
      </c>
      <c r="R269" s="32">
        <f>IF(OR(tbl_de_massas[[#This Row],[dia_vencimento]]="", tbl_de_massas[[#This Row],[dia_vencimento]]="--"), "", WORKDAY(tbl_de_massas[[#This Row],[dia_vencimento]], 5))</f>
        <v>27</v>
      </c>
    </row>
    <row r="270" spans="1:18" x14ac:dyDescent="0.25">
      <c r="A270" t="s">
        <v>2592</v>
      </c>
      <c r="B270" t="s">
        <v>2593</v>
      </c>
      <c r="C270" s="32" t="s">
        <v>607</v>
      </c>
      <c r="D270" t="s">
        <v>1638</v>
      </c>
      <c r="E270" s="54">
        <v>11413.43</v>
      </c>
      <c r="F270" s="54">
        <v>4675.6099999999997</v>
      </c>
      <c r="G270" s="54">
        <v>825.82</v>
      </c>
      <c r="H270" s="54">
        <v>3870.86</v>
      </c>
      <c r="I270" t="s">
        <v>2877</v>
      </c>
      <c r="J270" s="31">
        <v>4675.6099999999997</v>
      </c>
      <c r="K270" s="36" t="s">
        <v>5835</v>
      </c>
      <c r="L270" t="s">
        <v>2502</v>
      </c>
      <c r="M270" t="s">
        <v>2594</v>
      </c>
      <c r="N270" t="s">
        <v>1341</v>
      </c>
      <c r="O270" t="s">
        <v>2595</v>
      </c>
      <c r="P270" t="s">
        <v>1341</v>
      </c>
      <c r="Q270" s="23">
        <v>46279.838760937499</v>
      </c>
      <c r="R270" s="32">
        <f>IF(OR(tbl_de_massas[[#This Row],[dia_vencimento]]="", tbl_de_massas[[#This Row],[dia_vencimento]]="--"), "", WORKDAY(tbl_de_massas[[#This Row],[dia_vencimento]], 5))</f>
        <v>20</v>
      </c>
    </row>
    <row r="271" spans="1:18" x14ac:dyDescent="0.25">
      <c r="A271" t="s">
        <v>2596</v>
      </c>
      <c r="B271" t="s">
        <v>2597</v>
      </c>
      <c r="C271" s="32" t="s">
        <v>605</v>
      </c>
      <c r="D271" t="s">
        <v>1339</v>
      </c>
      <c r="E271" s="54">
        <v>10539.21</v>
      </c>
      <c r="F271" s="54">
        <v>747.69</v>
      </c>
      <c r="G271" s="54">
        <v>2900.5</v>
      </c>
      <c r="H271" s="54">
        <v>0</v>
      </c>
      <c r="I271" t="s">
        <v>2876</v>
      </c>
      <c r="J271" s="31">
        <v>747.69</v>
      </c>
      <c r="K271" s="36" t="s">
        <v>1306</v>
      </c>
      <c r="L271" t="s">
        <v>2504</v>
      </c>
      <c r="M271" t="s">
        <v>2598</v>
      </c>
      <c r="N271" t="s">
        <v>1341</v>
      </c>
      <c r="O271" t="s">
        <v>2599</v>
      </c>
      <c r="P271" t="s">
        <v>1341</v>
      </c>
      <c r="Q271" s="23">
        <v>46279.839013564815</v>
      </c>
      <c r="R271" s="32">
        <f>IF(OR(tbl_de_massas[[#This Row],[dia_vencimento]]="", tbl_de_massas[[#This Row],[dia_vencimento]]="--"), "", WORKDAY(tbl_de_massas[[#This Row],[dia_vencimento]], 5))</f>
        <v>17</v>
      </c>
    </row>
    <row r="272" spans="1:18" x14ac:dyDescent="0.25">
      <c r="A272" t="s">
        <v>2600</v>
      </c>
      <c r="B272" t="s">
        <v>2601</v>
      </c>
      <c r="C272" s="32" t="s">
        <v>608</v>
      </c>
      <c r="D272" t="s">
        <v>1455</v>
      </c>
      <c r="E272" s="54">
        <v>8572.5499999999993</v>
      </c>
      <c r="F272" s="54">
        <v>4954.63</v>
      </c>
      <c r="G272" s="54">
        <v>13217.78</v>
      </c>
      <c r="H272" s="54">
        <v>3870.86</v>
      </c>
      <c r="I272" t="s">
        <v>2877</v>
      </c>
      <c r="J272" s="31">
        <v>4954.63</v>
      </c>
      <c r="K272" s="36" t="s">
        <v>5835</v>
      </c>
      <c r="L272" t="s">
        <v>2502</v>
      </c>
      <c r="M272" t="s">
        <v>2602</v>
      </c>
      <c r="N272" t="s">
        <v>1345</v>
      </c>
      <c r="O272" t="s">
        <v>2603</v>
      </c>
      <c r="P272" t="s">
        <v>1345</v>
      </c>
      <c r="Q272" s="23">
        <v>46279.839123194448</v>
      </c>
      <c r="R272" s="32">
        <f>IF(OR(tbl_de_massas[[#This Row],[dia_vencimento]]="", tbl_de_massas[[#This Row],[dia_vencimento]]="--"), "", WORKDAY(tbl_de_massas[[#This Row],[dia_vencimento]], 5))</f>
        <v>27</v>
      </c>
    </row>
    <row r="273" spans="1:18" x14ac:dyDescent="0.25">
      <c r="A273" t="s">
        <v>2604</v>
      </c>
      <c r="B273" t="s">
        <v>2605</v>
      </c>
      <c r="C273" s="32" t="s">
        <v>607</v>
      </c>
      <c r="D273" t="s">
        <v>1635</v>
      </c>
      <c r="E273" s="54">
        <v>10715.37</v>
      </c>
      <c r="F273" s="54">
        <v>4650.4799999999996</v>
      </c>
      <c r="G273" s="54">
        <v>12760.4</v>
      </c>
      <c r="H273" s="54">
        <v>3870.86</v>
      </c>
      <c r="I273" t="s">
        <v>2877</v>
      </c>
      <c r="J273" s="31">
        <v>4650.4799999999996</v>
      </c>
      <c r="K273" s="36" t="s">
        <v>5835</v>
      </c>
      <c r="L273" t="s">
        <v>2502</v>
      </c>
      <c r="M273" t="s">
        <v>2606</v>
      </c>
      <c r="N273" t="s">
        <v>1341</v>
      </c>
      <c r="O273" t="s">
        <v>2607</v>
      </c>
      <c r="P273" t="s">
        <v>1341</v>
      </c>
      <c r="Q273" s="23">
        <v>46279.839266909723</v>
      </c>
      <c r="R273" s="32">
        <f>IF(OR(tbl_de_massas[[#This Row],[dia_vencimento]]="", tbl_de_massas[[#This Row],[dia_vencimento]]="--"), "", WORKDAY(tbl_de_massas[[#This Row],[dia_vencimento]], 5))</f>
        <v>20</v>
      </c>
    </row>
    <row r="274" spans="1:18" x14ac:dyDescent="0.25">
      <c r="A274" t="s">
        <v>2608</v>
      </c>
      <c r="B274" t="s">
        <v>2609</v>
      </c>
      <c r="C274" s="32" t="s">
        <v>5827</v>
      </c>
      <c r="D274" t="s">
        <v>1390</v>
      </c>
      <c r="E274" s="54">
        <v>13234.63</v>
      </c>
      <c r="F274" s="54">
        <v>5035.46</v>
      </c>
      <c r="G274" s="54">
        <v>10356.67</v>
      </c>
      <c r="H274" s="54">
        <v>3870.86</v>
      </c>
      <c r="I274" t="s">
        <v>2877</v>
      </c>
      <c r="J274" s="31">
        <v>5035.46</v>
      </c>
      <c r="K274" s="36" t="s">
        <v>5835</v>
      </c>
      <c r="L274" t="s">
        <v>2502</v>
      </c>
      <c r="M274" t="s">
        <v>67</v>
      </c>
      <c r="O274" t="s">
        <v>2610</v>
      </c>
      <c r="P274" t="s">
        <v>1341</v>
      </c>
      <c r="Q274" s="23">
        <v>46279.840428807867</v>
      </c>
      <c r="R274" s="32">
        <f>IF(OR(tbl_de_massas[[#This Row],[dia_vencimento]]="", tbl_de_massas[[#This Row],[dia_vencimento]]="--"), "", WORKDAY(tbl_de_massas[[#This Row],[dia_vencimento]], 5))</f>
        <v>12</v>
      </c>
    </row>
    <row r="275" spans="1:18" x14ac:dyDescent="0.25">
      <c r="A275" t="s">
        <v>2611</v>
      </c>
      <c r="B275" t="s">
        <v>2612</v>
      </c>
      <c r="C275" s="32" t="s">
        <v>611</v>
      </c>
      <c r="D275" t="s">
        <v>1413</v>
      </c>
      <c r="E275" s="54">
        <v>5534.29</v>
      </c>
      <c r="F275" s="54">
        <v>4677.72</v>
      </c>
      <c r="G275" s="54">
        <v>4492.95</v>
      </c>
      <c r="H275" s="54">
        <v>3870.86</v>
      </c>
      <c r="I275" t="s">
        <v>2877</v>
      </c>
      <c r="J275" s="31">
        <v>4677.72</v>
      </c>
      <c r="K275" s="36" t="s">
        <v>5835</v>
      </c>
      <c r="L275" t="s">
        <v>2502</v>
      </c>
      <c r="M275" t="s">
        <v>2613</v>
      </c>
      <c r="N275" t="s">
        <v>1341</v>
      </c>
      <c r="O275" t="s">
        <v>2614</v>
      </c>
      <c r="P275" t="s">
        <v>1341</v>
      </c>
      <c r="Q275" s="23">
        <v>46279.843504340279</v>
      </c>
      <c r="R275" s="32">
        <f>IF(OR(tbl_de_massas[[#This Row],[dia_vencimento]]="", tbl_de_massas[[#This Row],[dia_vencimento]]="--"), "", WORKDAY(tbl_de_massas[[#This Row],[dia_vencimento]], 5))</f>
        <v>32</v>
      </c>
    </row>
    <row r="276" spans="1:18" x14ac:dyDescent="0.25">
      <c r="A276" t="s">
        <v>2615</v>
      </c>
      <c r="B276" t="s">
        <v>2616</v>
      </c>
      <c r="C276" s="32" t="s">
        <v>607</v>
      </c>
      <c r="D276" t="s">
        <v>1730</v>
      </c>
      <c r="E276" s="54">
        <v>12205.39</v>
      </c>
      <c r="F276" s="54">
        <v>5042.38</v>
      </c>
      <c r="G276" s="54">
        <v>12010.19</v>
      </c>
      <c r="H276" s="54">
        <v>3870.86</v>
      </c>
      <c r="I276" t="s">
        <v>2877</v>
      </c>
      <c r="J276" s="31">
        <v>5042.38</v>
      </c>
      <c r="K276" s="36" t="s">
        <v>5835</v>
      </c>
      <c r="L276" t="s">
        <v>2502</v>
      </c>
      <c r="M276" t="s">
        <v>2617</v>
      </c>
      <c r="N276" t="s">
        <v>1341</v>
      </c>
      <c r="O276" t="s">
        <v>2618</v>
      </c>
      <c r="P276" t="s">
        <v>1341</v>
      </c>
      <c r="Q276" s="23">
        <v>46279.843694062503</v>
      </c>
      <c r="R276" s="32">
        <f>IF(OR(tbl_de_massas[[#This Row],[dia_vencimento]]="", tbl_de_massas[[#This Row],[dia_vencimento]]="--"), "", WORKDAY(tbl_de_massas[[#This Row],[dia_vencimento]], 5))</f>
        <v>20</v>
      </c>
    </row>
    <row r="277" spans="1:18" x14ac:dyDescent="0.25">
      <c r="A277" t="s">
        <v>2619</v>
      </c>
      <c r="B277" t="s">
        <v>2620</v>
      </c>
      <c r="C277" s="32" t="s">
        <v>608</v>
      </c>
      <c r="D277" t="s">
        <v>1733</v>
      </c>
      <c r="E277" s="54">
        <v>10806.92</v>
      </c>
      <c r="F277" s="54">
        <v>802.49</v>
      </c>
      <c r="G277" s="54">
        <v>15017.75</v>
      </c>
      <c r="H277" s="54">
        <v>0</v>
      </c>
      <c r="I277" t="s">
        <v>2876</v>
      </c>
      <c r="J277" s="31">
        <v>802.49</v>
      </c>
      <c r="K277" s="36" t="s">
        <v>1306</v>
      </c>
      <c r="L277" t="s">
        <v>2504</v>
      </c>
      <c r="M277" t="s">
        <v>67</v>
      </c>
      <c r="O277" t="s">
        <v>2621</v>
      </c>
      <c r="P277" t="s">
        <v>1341</v>
      </c>
      <c r="Q277" s="23">
        <v>46279.84410065972</v>
      </c>
      <c r="R277" s="32">
        <f>IF(OR(tbl_de_massas[[#This Row],[dia_vencimento]]="", tbl_de_massas[[#This Row],[dia_vencimento]]="--"), "", WORKDAY(tbl_de_massas[[#This Row],[dia_vencimento]], 5))</f>
        <v>27</v>
      </c>
    </row>
    <row r="278" spans="1:18" x14ac:dyDescent="0.25">
      <c r="A278" t="s">
        <v>2622</v>
      </c>
      <c r="B278" t="s">
        <v>2623</v>
      </c>
      <c r="C278" s="32" t="s">
        <v>5827</v>
      </c>
      <c r="D278" t="s">
        <v>1758</v>
      </c>
      <c r="E278" s="54">
        <v>7334.77</v>
      </c>
      <c r="F278" s="54">
        <v>0</v>
      </c>
      <c r="G278" s="54">
        <v>16682.919999999998</v>
      </c>
      <c r="H278" s="54">
        <v>0</v>
      </c>
      <c r="I278" t="s">
        <v>2876</v>
      </c>
      <c r="J278" s="31">
        <v>406.13</v>
      </c>
      <c r="K278" s="36" t="s">
        <v>1306</v>
      </c>
      <c r="L278" t="s">
        <v>2504</v>
      </c>
      <c r="M278" t="s">
        <v>2624</v>
      </c>
      <c r="N278" t="s">
        <v>1341</v>
      </c>
      <c r="O278" t="s">
        <v>67</v>
      </c>
      <c r="Q278" s="23">
        <v>46279.855863460645</v>
      </c>
      <c r="R278" s="32">
        <f>IF(OR(tbl_de_massas[[#This Row],[dia_vencimento]]="", tbl_de_massas[[#This Row],[dia_vencimento]]="--"), "", WORKDAY(tbl_de_massas[[#This Row],[dia_vencimento]], 5))</f>
        <v>12</v>
      </c>
    </row>
    <row r="279" spans="1:18" x14ac:dyDescent="0.25">
      <c r="A279" t="s">
        <v>2625</v>
      </c>
      <c r="B279" t="s">
        <v>2626</v>
      </c>
      <c r="C279" s="32" t="s">
        <v>608</v>
      </c>
      <c r="D279" t="s">
        <v>2020</v>
      </c>
      <c r="E279" s="54">
        <v>9182.4500000000007</v>
      </c>
      <c r="F279" s="54">
        <v>4642.6400000000003</v>
      </c>
      <c r="G279" s="54">
        <v>13665.23</v>
      </c>
      <c r="H279" s="54">
        <v>3870.86</v>
      </c>
      <c r="I279" t="s">
        <v>2877</v>
      </c>
      <c r="J279" s="31">
        <v>4642.6400000000003</v>
      </c>
      <c r="K279" s="36" t="s">
        <v>5835</v>
      </c>
      <c r="L279" t="s">
        <v>2502</v>
      </c>
      <c r="M279" t="s">
        <v>2627</v>
      </c>
      <c r="N279" t="s">
        <v>1341</v>
      </c>
      <c r="O279" t="s">
        <v>2628</v>
      </c>
      <c r="P279" t="s">
        <v>1341</v>
      </c>
      <c r="Q279" s="23">
        <v>46279.856026319445</v>
      </c>
      <c r="R279" s="32">
        <f>IF(OR(tbl_de_massas[[#This Row],[dia_vencimento]]="", tbl_de_massas[[#This Row],[dia_vencimento]]="--"), "", WORKDAY(tbl_de_massas[[#This Row],[dia_vencimento]], 5))</f>
        <v>27</v>
      </c>
    </row>
    <row r="280" spans="1:18" x14ac:dyDescent="0.25">
      <c r="A280" t="s">
        <v>2629</v>
      </c>
      <c r="B280" t="s">
        <v>2630</v>
      </c>
      <c r="C280" s="32" t="s">
        <v>611</v>
      </c>
      <c r="D280" t="s">
        <v>1606</v>
      </c>
      <c r="E280" s="54">
        <v>7385.6</v>
      </c>
      <c r="F280" s="54">
        <v>3232.68</v>
      </c>
      <c r="G280" s="54">
        <v>1974.38</v>
      </c>
      <c r="H280" s="54">
        <v>3870.86</v>
      </c>
      <c r="I280" t="s">
        <v>2877</v>
      </c>
      <c r="J280" s="31">
        <v>3232.68</v>
      </c>
      <c r="K280" s="36" t="s">
        <v>1306</v>
      </c>
      <c r="L280" t="s">
        <v>2504</v>
      </c>
      <c r="M280" t="s">
        <v>67</v>
      </c>
      <c r="O280" t="s">
        <v>2631</v>
      </c>
      <c r="P280" t="s">
        <v>1341</v>
      </c>
      <c r="Q280" s="23">
        <v>46279.856105451392</v>
      </c>
      <c r="R280" s="32">
        <f>IF(OR(tbl_de_massas[[#This Row],[dia_vencimento]]="", tbl_de_massas[[#This Row],[dia_vencimento]]="--"), "", WORKDAY(tbl_de_massas[[#This Row],[dia_vencimento]], 5))</f>
        <v>32</v>
      </c>
    </row>
    <row r="281" spans="1:18" x14ac:dyDescent="0.25">
      <c r="A281" t="s">
        <v>2632</v>
      </c>
      <c r="B281" t="s">
        <v>2633</v>
      </c>
      <c r="C281" s="32" t="s">
        <v>607</v>
      </c>
      <c r="D281" t="s">
        <v>1880</v>
      </c>
      <c r="E281" s="54">
        <v>10699.07</v>
      </c>
      <c r="F281" s="54">
        <v>4788.37</v>
      </c>
      <c r="G281" s="54">
        <v>4998.88</v>
      </c>
      <c r="H281" s="54">
        <v>3870.86</v>
      </c>
      <c r="I281" t="s">
        <v>2877</v>
      </c>
      <c r="J281" s="31">
        <v>4788.37</v>
      </c>
      <c r="K281" s="36" t="s">
        <v>5835</v>
      </c>
      <c r="L281" t="s">
        <v>2502</v>
      </c>
      <c r="M281" t="s">
        <v>2634</v>
      </c>
      <c r="N281" t="s">
        <v>1341</v>
      </c>
      <c r="O281" t="s">
        <v>2635</v>
      </c>
      <c r="P281" t="s">
        <v>1341</v>
      </c>
      <c r="Q281" s="23">
        <v>46279.85622483796</v>
      </c>
      <c r="R281" s="32">
        <f>IF(OR(tbl_de_massas[[#This Row],[dia_vencimento]]="", tbl_de_massas[[#This Row],[dia_vencimento]]="--"), "", WORKDAY(tbl_de_massas[[#This Row],[dia_vencimento]], 5))</f>
        <v>20</v>
      </c>
    </row>
    <row r="282" spans="1:18" x14ac:dyDescent="0.25">
      <c r="A282" t="s">
        <v>2636</v>
      </c>
      <c r="B282" t="s">
        <v>2637</v>
      </c>
      <c r="C282" s="32" t="s">
        <v>607</v>
      </c>
      <c r="D282" t="s">
        <v>2040</v>
      </c>
      <c r="E282" s="54">
        <v>11617.29</v>
      </c>
      <c r="F282" s="54">
        <v>1196.46</v>
      </c>
      <c r="G282" s="54">
        <v>14810.44</v>
      </c>
      <c r="H282" s="54">
        <v>0</v>
      </c>
      <c r="I282" t="s">
        <v>2876</v>
      </c>
      <c r="J282" s="31">
        <v>1196.46</v>
      </c>
      <c r="K282" s="36" t="s">
        <v>1306</v>
      </c>
      <c r="L282" t="s">
        <v>2504</v>
      </c>
      <c r="M282" t="s">
        <v>2638</v>
      </c>
      <c r="N282" t="s">
        <v>1341</v>
      </c>
      <c r="O282" t="s">
        <v>67</v>
      </c>
      <c r="Q282" s="23">
        <v>46279.85645417824</v>
      </c>
      <c r="R282" s="32">
        <f>IF(OR(tbl_de_massas[[#This Row],[dia_vencimento]]="", tbl_de_massas[[#This Row],[dia_vencimento]]="--"), "", WORKDAY(tbl_de_massas[[#This Row],[dia_vencimento]], 5))</f>
        <v>20</v>
      </c>
    </row>
    <row r="283" spans="1:18" x14ac:dyDescent="0.25">
      <c r="A283" t="s">
        <v>2639</v>
      </c>
      <c r="B283" t="s">
        <v>2640</v>
      </c>
      <c r="C283" s="32" t="s">
        <v>607</v>
      </c>
      <c r="D283" t="s">
        <v>1908</v>
      </c>
      <c r="E283" s="54">
        <v>724.44</v>
      </c>
      <c r="F283" s="54">
        <v>197.3</v>
      </c>
      <c r="G283" s="54">
        <v>16594.53</v>
      </c>
      <c r="H283" s="54">
        <v>0</v>
      </c>
      <c r="I283" t="s">
        <v>2881</v>
      </c>
      <c r="J283" s="31">
        <v>591.91</v>
      </c>
      <c r="K283" s="36" t="s">
        <v>1306</v>
      </c>
      <c r="L283" t="s">
        <v>2504</v>
      </c>
      <c r="M283" t="s">
        <v>2641</v>
      </c>
      <c r="N283" t="s">
        <v>1341</v>
      </c>
      <c r="O283" t="s">
        <v>67</v>
      </c>
      <c r="Q283" s="23">
        <v>46279.893739953703</v>
      </c>
      <c r="R283" s="32">
        <f>IF(OR(tbl_de_massas[[#This Row],[dia_vencimento]]="", tbl_de_massas[[#This Row],[dia_vencimento]]="--"), "", WORKDAY(tbl_de_massas[[#This Row],[dia_vencimento]], 5))</f>
        <v>20</v>
      </c>
    </row>
    <row r="284" spans="1:18" x14ac:dyDescent="0.25">
      <c r="A284" t="s">
        <v>2642</v>
      </c>
      <c r="B284" t="s">
        <v>2643</v>
      </c>
      <c r="C284" s="32" t="s">
        <v>5827</v>
      </c>
      <c r="D284" t="s">
        <v>2105</v>
      </c>
      <c r="E284" s="54">
        <v>12019.36</v>
      </c>
      <c r="F284" s="54">
        <v>4946.75</v>
      </c>
      <c r="G284" s="54">
        <v>-1483.01</v>
      </c>
      <c r="H284" s="54">
        <v>3870.86</v>
      </c>
      <c r="I284" t="s">
        <v>2877</v>
      </c>
      <c r="J284" s="31">
        <v>4946.75</v>
      </c>
      <c r="K284" s="36" t="s">
        <v>5835</v>
      </c>
      <c r="L284" t="s">
        <v>2502</v>
      </c>
      <c r="M284" t="s">
        <v>2644</v>
      </c>
      <c r="N284" t="s">
        <v>1341</v>
      </c>
      <c r="O284" t="s">
        <v>67</v>
      </c>
      <c r="Q284" s="23">
        <v>46279.894253576385</v>
      </c>
      <c r="R284" s="32">
        <f>IF(OR(tbl_de_massas[[#This Row],[dia_vencimento]]="", tbl_de_massas[[#This Row],[dia_vencimento]]="--"), "", WORKDAY(tbl_de_massas[[#This Row],[dia_vencimento]], 5))</f>
        <v>12</v>
      </c>
    </row>
    <row r="285" spans="1:18" x14ac:dyDescent="0.25">
      <c r="A285" t="s">
        <v>2645</v>
      </c>
      <c r="B285" t="s">
        <v>2646</v>
      </c>
      <c r="C285" s="32" t="s">
        <v>5827</v>
      </c>
      <c r="D285" t="s">
        <v>1887</v>
      </c>
      <c r="E285" s="54">
        <v>847.97</v>
      </c>
      <c r="F285" s="54">
        <v>5087.6099999999997</v>
      </c>
      <c r="G285" s="54">
        <v>13630.04</v>
      </c>
      <c r="H285" s="54">
        <v>3870.86</v>
      </c>
      <c r="I285" t="s">
        <v>2877</v>
      </c>
      <c r="J285" s="31">
        <v>5087.6099999999997</v>
      </c>
      <c r="K285" s="36" t="s">
        <v>5835</v>
      </c>
      <c r="L285" t="s">
        <v>2502</v>
      </c>
      <c r="M285" t="s">
        <v>2647</v>
      </c>
      <c r="N285" t="s">
        <v>1341</v>
      </c>
      <c r="O285" t="s">
        <v>2648</v>
      </c>
      <c r="P285" t="s">
        <v>1341</v>
      </c>
      <c r="Q285" s="23">
        <v>46279.942514097223</v>
      </c>
      <c r="R285" s="32">
        <f>IF(OR(tbl_de_massas[[#This Row],[dia_vencimento]]="", tbl_de_massas[[#This Row],[dia_vencimento]]="--"), "", WORKDAY(tbl_de_massas[[#This Row],[dia_vencimento]], 5))</f>
        <v>12</v>
      </c>
    </row>
    <row r="286" spans="1:18" x14ac:dyDescent="0.25">
      <c r="A286" t="s">
        <v>2649</v>
      </c>
      <c r="B286" t="s">
        <v>2650</v>
      </c>
      <c r="C286" s="32" t="s">
        <v>611</v>
      </c>
      <c r="D286" t="s">
        <v>1798</v>
      </c>
      <c r="E286" s="54">
        <v>3221.58</v>
      </c>
      <c r="F286" s="54">
        <v>4699.91</v>
      </c>
      <c r="G286" s="54">
        <v>6784.56</v>
      </c>
      <c r="H286" s="54">
        <v>3870.86</v>
      </c>
      <c r="I286" t="s">
        <v>2877</v>
      </c>
      <c r="J286" s="31">
        <v>4699.91</v>
      </c>
      <c r="K286" s="36" t="s">
        <v>5835</v>
      </c>
      <c r="L286" t="s">
        <v>2502</v>
      </c>
      <c r="M286" t="s">
        <v>67</v>
      </c>
      <c r="O286" t="s">
        <v>2651</v>
      </c>
      <c r="P286" t="s">
        <v>1345</v>
      </c>
      <c r="Q286" s="23">
        <v>46279.942597106485</v>
      </c>
      <c r="R286" s="32">
        <f>IF(OR(tbl_de_massas[[#This Row],[dia_vencimento]]="", tbl_de_massas[[#This Row],[dia_vencimento]]="--"), "", WORKDAY(tbl_de_massas[[#This Row],[dia_vencimento]], 5))</f>
        <v>32</v>
      </c>
    </row>
    <row r="287" spans="1:18" x14ac:dyDescent="0.25">
      <c r="A287" t="s">
        <v>2652</v>
      </c>
      <c r="B287" t="s">
        <v>2653</v>
      </c>
      <c r="C287" s="32" t="s">
        <v>608</v>
      </c>
      <c r="D287" t="s">
        <v>2119</v>
      </c>
      <c r="E287" s="54">
        <v>9286.0300000000007</v>
      </c>
      <c r="F287" s="54">
        <v>4452.96</v>
      </c>
      <c r="G287" s="54">
        <v>6573.83</v>
      </c>
      <c r="H287" s="54">
        <v>3870.86</v>
      </c>
      <c r="I287" t="s">
        <v>2877</v>
      </c>
      <c r="J287" s="31">
        <v>4452.96</v>
      </c>
      <c r="K287" s="36" t="s">
        <v>1306</v>
      </c>
      <c r="L287" t="s">
        <v>2504</v>
      </c>
      <c r="M287" t="s">
        <v>2654</v>
      </c>
      <c r="N287" t="s">
        <v>1341</v>
      </c>
      <c r="O287" t="s">
        <v>2655</v>
      </c>
      <c r="P287" t="s">
        <v>1341</v>
      </c>
      <c r="Q287" s="23">
        <v>46279.94265261574</v>
      </c>
      <c r="R287" s="32">
        <f>IF(OR(tbl_de_massas[[#This Row],[dia_vencimento]]="", tbl_de_massas[[#This Row],[dia_vencimento]]="--"), "", WORKDAY(tbl_de_massas[[#This Row],[dia_vencimento]], 5))</f>
        <v>27</v>
      </c>
    </row>
    <row r="288" spans="1:18" x14ac:dyDescent="0.25">
      <c r="A288" t="s">
        <v>2656</v>
      </c>
      <c r="B288" t="s">
        <v>2657</v>
      </c>
      <c r="C288" s="32" t="s">
        <v>608</v>
      </c>
      <c r="D288" t="s">
        <v>1629</v>
      </c>
      <c r="E288" s="54">
        <v>2036.65</v>
      </c>
      <c r="F288" s="54">
        <v>4309.67</v>
      </c>
      <c r="G288" s="54">
        <v>3876.85</v>
      </c>
      <c r="H288" s="54">
        <v>3870.86</v>
      </c>
      <c r="I288" t="s">
        <v>2877</v>
      </c>
      <c r="J288" s="31">
        <v>4309.67</v>
      </c>
      <c r="K288" s="36" t="s">
        <v>1306</v>
      </c>
      <c r="L288" t="s">
        <v>2504</v>
      </c>
      <c r="M288" t="s">
        <v>2658</v>
      </c>
      <c r="N288" t="s">
        <v>1341</v>
      </c>
      <c r="O288" t="s">
        <v>67</v>
      </c>
      <c r="Q288" s="23">
        <v>46279.942934780091</v>
      </c>
      <c r="R288" s="32">
        <f>IF(OR(tbl_de_massas[[#This Row],[dia_vencimento]]="", tbl_de_massas[[#This Row],[dia_vencimento]]="--"), "", WORKDAY(tbl_de_massas[[#This Row],[dia_vencimento]], 5))</f>
        <v>27</v>
      </c>
    </row>
    <row r="289" spans="1:18" x14ac:dyDescent="0.25">
      <c r="A289" t="s">
        <v>2659</v>
      </c>
      <c r="B289" t="s">
        <v>2660</v>
      </c>
      <c r="C289" s="32" t="s">
        <v>608</v>
      </c>
      <c r="D289" t="s">
        <v>2096</v>
      </c>
      <c r="E289" s="54">
        <v>12503.22</v>
      </c>
      <c r="F289" s="54">
        <v>4697.22</v>
      </c>
      <c r="G289" s="54">
        <v>12697.98</v>
      </c>
      <c r="H289" s="54">
        <v>3870.86</v>
      </c>
      <c r="I289" t="s">
        <v>2877</v>
      </c>
      <c r="J289" s="31">
        <v>4697.22</v>
      </c>
      <c r="K289" s="36" t="s">
        <v>5835</v>
      </c>
      <c r="L289" t="s">
        <v>2502</v>
      </c>
      <c r="M289" t="s">
        <v>2661</v>
      </c>
      <c r="N289" t="s">
        <v>1341</v>
      </c>
      <c r="O289" t="s">
        <v>2662</v>
      </c>
      <c r="P289" t="s">
        <v>1341</v>
      </c>
      <c r="Q289" s="23">
        <v>46279.943204444447</v>
      </c>
      <c r="R289" s="32">
        <f>IF(OR(tbl_de_massas[[#This Row],[dia_vencimento]]="", tbl_de_massas[[#This Row],[dia_vencimento]]="--"), "", WORKDAY(tbl_de_massas[[#This Row],[dia_vencimento]], 5))</f>
        <v>27</v>
      </c>
    </row>
    <row r="290" spans="1:18" x14ac:dyDescent="0.25">
      <c r="A290" t="s">
        <v>2663</v>
      </c>
      <c r="B290" t="s">
        <v>2664</v>
      </c>
      <c r="C290" s="32" t="s">
        <v>608</v>
      </c>
      <c r="D290" t="s">
        <v>2043</v>
      </c>
      <c r="E290" s="54">
        <v>5179.29</v>
      </c>
      <c r="F290" s="54">
        <v>0</v>
      </c>
      <c r="G290" s="54">
        <v>21501.01</v>
      </c>
      <c r="H290" s="54">
        <v>0</v>
      </c>
      <c r="I290" t="s">
        <v>2881</v>
      </c>
      <c r="J290" s="31">
        <v>517.16999999999996</v>
      </c>
      <c r="K290" s="36" t="s">
        <v>1306</v>
      </c>
      <c r="L290" t="s">
        <v>2504</v>
      </c>
      <c r="M290" t="s">
        <v>2665</v>
      </c>
      <c r="N290" t="s">
        <v>1341</v>
      </c>
      <c r="O290" t="s">
        <v>2666</v>
      </c>
      <c r="P290" t="s">
        <v>1341</v>
      </c>
      <c r="Q290" s="23">
        <v>46279.953190729168</v>
      </c>
      <c r="R290" s="32">
        <f>IF(OR(tbl_de_massas[[#This Row],[dia_vencimento]]="", tbl_de_massas[[#This Row],[dia_vencimento]]="--"), "", WORKDAY(tbl_de_massas[[#This Row],[dia_vencimento]], 5))</f>
        <v>27</v>
      </c>
    </row>
    <row r="291" spans="1:18" x14ac:dyDescent="0.25">
      <c r="A291" t="s">
        <v>2677</v>
      </c>
      <c r="B291" t="s">
        <v>2678</v>
      </c>
      <c r="C291" s="32" t="s">
        <v>611</v>
      </c>
      <c r="D291" t="s">
        <v>2679</v>
      </c>
      <c r="E291" s="54">
        <v>6428.54</v>
      </c>
      <c r="F291" s="54">
        <v>0</v>
      </c>
      <c r="G291" s="54">
        <v>7832.46</v>
      </c>
      <c r="H291" s="54">
        <v>0</v>
      </c>
      <c r="I291" t="s">
        <v>2881</v>
      </c>
      <c r="J291" s="31">
        <v>828.38</v>
      </c>
      <c r="K291" s="36" t="s">
        <v>1306</v>
      </c>
      <c r="L291" t="s">
        <v>2504</v>
      </c>
      <c r="M291" t="s">
        <v>67</v>
      </c>
      <c r="O291" t="s">
        <v>2680</v>
      </c>
      <c r="P291" t="s">
        <v>1345</v>
      </c>
      <c r="Q291" s="23">
        <v>46280.835939351855</v>
      </c>
      <c r="R291" s="32">
        <f>IF(OR(tbl_de_massas[[#This Row],[dia_vencimento]]="", tbl_de_massas[[#This Row],[dia_vencimento]]="--"), "", WORKDAY(tbl_de_massas[[#This Row],[dia_vencimento]], 5))</f>
        <v>32</v>
      </c>
    </row>
    <row r="292" spans="1:18" x14ac:dyDescent="0.25">
      <c r="A292" t="s">
        <v>2681</v>
      </c>
      <c r="B292" t="s">
        <v>2682</v>
      </c>
      <c r="C292" s="32" t="s">
        <v>5827</v>
      </c>
      <c r="D292" t="s">
        <v>2683</v>
      </c>
      <c r="E292" s="54">
        <v>5759.16</v>
      </c>
      <c r="F292" s="54">
        <v>3997.58</v>
      </c>
      <c r="G292" s="54">
        <v>3701.62</v>
      </c>
      <c r="H292" s="54">
        <v>3870.86</v>
      </c>
      <c r="I292" t="s">
        <v>2877</v>
      </c>
      <c r="J292" s="31">
        <v>3997.58</v>
      </c>
      <c r="K292" s="36" t="s">
        <v>1306</v>
      </c>
      <c r="L292" t="s">
        <v>2504</v>
      </c>
      <c r="M292" t="s">
        <v>2684</v>
      </c>
      <c r="N292" t="s">
        <v>1341</v>
      </c>
      <c r="O292" t="s">
        <v>2685</v>
      </c>
      <c r="P292" t="s">
        <v>1341</v>
      </c>
      <c r="Q292" s="23">
        <v>46280.836083310183</v>
      </c>
      <c r="R292" s="32">
        <f>IF(OR(tbl_de_massas[[#This Row],[dia_vencimento]]="", tbl_de_massas[[#This Row],[dia_vencimento]]="--"), "", WORKDAY(tbl_de_massas[[#This Row],[dia_vencimento]], 5))</f>
        <v>12</v>
      </c>
    </row>
    <row r="293" spans="1:18" x14ac:dyDescent="0.25">
      <c r="A293" t="s">
        <v>2686</v>
      </c>
      <c r="B293" t="s">
        <v>2687</v>
      </c>
      <c r="C293" s="32" t="s">
        <v>605</v>
      </c>
      <c r="D293" t="s">
        <v>2688</v>
      </c>
      <c r="E293" s="54">
        <v>11494.6</v>
      </c>
      <c r="F293" s="54">
        <v>864.29</v>
      </c>
      <c r="G293" s="54">
        <v>8382.39</v>
      </c>
      <c r="H293" s="54">
        <v>0</v>
      </c>
      <c r="I293" t="s">
        <v>2876</v>
      </c>
      <c r="J293" s="31">
        <v>864.29</v>
      </c>
      <c r="K293" s="36" t="s">
        <v>1306</v>
      </c>
      <c r="L293" t="s">
        <v>2504</v>
      </c>
      <c r="M293" t="s">
        <v>2689</v>
      </c>
      <c r="N293" t="s">
        <v>1341</v>
      </c>
      <c r="O293" t="s">
        <v>67</v>
      </c>
      <c r="Q293" s="23">
        <v>46280.836234988426</v>
      </c>
      <c r="R293" s="32">
        <f>IF(OR(tbl_de_massas[[#This Row],[dia_vencimento]]="", tbl_de_massas[[#This Row],[dia_vencimento]]="--"), "", WORKDAY(tbl_de_massas[[#This Row],[dia_vencimento]], 5))</f>
        <v>17</v>
      </c>
    </row>
    <row r="294" spans="1:18" x14ac:dyDescent="0.25">
      <c r="A294" t="s">
        <v>2690</v>
      </c>
      <c r="B294" t="s">
        <v>2691</v>
      </c>
      <c r="C294" s="32" t="s">
        <v>5827</v>
      </c>
      <c r="D294" t="s">
        <v>2692</v>
      </c>
      <c r="E294" s="54">
        <v>4140.1099999999997</v>
      </c>
      <c r="F294" s="54">
        <v>1205.8599999999999</v>
      </c>
      <c r="G294" s="54">
        <v>6952.52</v>
      </c>
      <c r="H294" s="54">
        <v>0</v>
      </c>
      <c r="I294" t="s">
        <v>2876</v>
      </c>
      <c r="J294" s="31">
        <v>1205.8599999999999</v>
      </c>
      <c r="K294" s="36" t="s">
        <v>1306</v>
      </c>
      <c r="L294" t="s">
        <v>2504</v>
      </c>
      <c r="M294" t="s">
        <v>67</v>
      </c>
      <c r="O294" t="s">
        <v>2693</v>
      </c>
      <c r="P294" t="s">
        <v>1341</v>
      </c>
      <c r="Q294" s="23">
        <v>46280.836424733796</v>
      </c>
      <c r="R294" s="32">
        <f>IF(OR(tbl_de_massas[[#This Row],[dia_vencimento]]="", tbl_de_massas[[#This Row],[dia_vencimento]]="--"), "", WORKDAY(tbl_de_massas[[#This Row],[dia_vencimento]], 5))</f>
        <v>12</v>
      </c>
    </row>
    <row r="295" spans="1:18" x14ac:dyDescent="0.25">
      <c r="A295" t="s">
        <v>2694</v>
      </c>
      <c r="B295" t="s">
        <v>2695</v>
      </c>
      <c r="C295" s="32" t="s">
        <v>5827</v>
      </c>
      <c r="D295" t="s">
        <v>2696</v>
      </c>
      <c r="E295" s="54">
        <v>7479.72</v>
      </c>
      <c r="F295" s="54">
        <v>941.3</v>
      </c>
      <c r="G295" s="54">
        <v>8694.9599999999991</v>
      </c>
      <c r="H295" s="54">
        <v>0</v>
      </c>
      <c r="I295" t="s">
        <v>2876</v>
      </c>
      <c r="J295" s="31">
        <v>941.3</v>
      </c>
      <c r="K295" s="36" t="s">
        <v>1306</v>
      </c>
      <c r="L295" t="s">
        <v>2504</v>
      </c>
      <c r="M295" t="s">
        <v>67</v>
      </c>
      <c r="O295" t="s">
        <v>2697</v>
      </c>
      <c r="P295" t="s">
        <v>1341</v>
      </c>
      <c r="Q295" s="23">
        <v>46280.836768159723</v>
      </c>
      <c r="R295" s="32">
        <f>IF(OR(tbl_de_massas[[#This Row],[dia_vencimento]]="", tbl_de_massas[[#This Row],[dia_vencimento]]="--"), "", WORKDAY(tbl_de_massas[[#This Row],[dia_vencimento]], 5))</f>
        <v>12</v>
      </c>
    </row>
    <row r="296" spans="1:18" x14ac:dyDescent="0.25">
      <c r="A296" t="s">
        <v>2698</v>
      </c>
      <c r="B296" t="s">
        <v>2699</v>
      </c>
      <c r="C296" s="32" t="s">
        <v>5827</v>
      </c>
      <c r="D296" t="s">
        <v>2700</v>
      </c>
      <c r="E296" s="54">
        <v>13719.26</v>
      </c>
      <c r="F296" s="54">
        <v>4823.53</v>
      </c>
      <c r="G296" s="54">
        <v>10628.51</v>
      </c>
      <c r="H296" s="54">
        <v>3870.86</v>
      </c>
      <c r="I296" t="s">
        <v>2877</v>
      </c>
      <c r="J296" s="31">
        <v>4823.53</v>
      </c>
      <c r="K296" s="36" t="s">
        <v>2925</v>
      </c>
      <c r="L296" t="s">
        <v>2502</v>
      </c>
      <c r="M296" t="s">
        <v>2701</v>
      </c>
      <c r="N296" t="s">
        <v>1341</v>
      </c>
      <c r="O296" t="s">
        <v>2702</v>
      </c>
      <c r="P296" t="s">
        <v>1341</v>
      </c>
      <c r="Q296" s="23">
        <v>46280.836855347225</v>
      </c>
      <c r="R296" s="32">
        <f>IF(OR(tbl_de_massas[[#This Row],[dia_vencimento]]="", tbl_de_massas[[#This Row],[dia_vencimento]]="--"), "", WORKDAY(tbl_de_massas[[#This Row],[dia_vencimento]], 5))</f>
        <v>12</v>
      </c>
    </row>
    <row r="297" spans="1:18" x14ac:dyDescent="0.25">
      <c r="A297" t="s">
        <v>2703</v>
      </c>
      <c r="B297" t="s">
        <v>2704</v>
      </c>
      <c r="C297" s="32" t="s">
        <v>608</v>
      </c>
      <c r="D297" t="s">
        <v>2705</v>
      </c>
      <c r="E297" s="54">
        <v>11317.4</v>
      </c>
      <c r="F297" s="54">
        <v>5067.53</v>
      </c>
      <c r="G297" s="54">
        <v>4603.92</v>
      </c>
      <c r="H297" s="54">
        <v>3870.86</v>
      </c>
      <c r="I297" t="s">
        <v>2877</v>
      </c>
      <c r="J297" s="31">
        <v>5067.53</v>
      </c>
      <c r="K297" s="36" t="s">
        <v>2925</v>
      </c>
      <c r="L297" t="s">
        <v>2502</v>
      </c>
      <c r="M297" t="s">
        <v>2706</v>
      </c>
      <c r="N297" t="s">
        <v>1341</v>
      </c>
      <c r="O297" t="s">
        <v>2707</v>
      </c>
      <c r="P297" t="s">
        <v>1341</v>
      </c>
      <c r="Q297" s="23">
        <v>46280.836999664352</v>
      </c>
      <c r="R297" s="32">
        <f>IF(OR(tbl_de_massas[[#This Row],[dia_vencimento]]="", tbl_de_massas[[#This Row],[dia_vencimento]]="--"), "", WORKDAY(tbl_de_massas[[#This Row],[dia_vencimento]], 5))</f>
        <v>27</v>
      </c>
    </row>
    <row r="298" spans="1:18" x14ac:dyDescent="0.25">
      <c r="A298" t="s">
        <v>2708</v>
      </c>
      <c r="B298" t="s">
        <v>2709</v>
      </c>
      <c r="C298" s="32" t="s">
        <v>5827</v>
      </c>
      <c r="D298" t="s">
        <v>2710</v>
      </c>
      <c r="E298" s="54">
        <v>7492.92</v>
      </c>
      <c r="F298" s="54">
        <v>4802.92</v>
      </c>
      <c r="G298" s="54">
        <v>6084.77</v>
      </c>
      <c r="H298" s="54">
        <v>3870.86</v>
      </c>
      <c r="I298" t="s">
        <v>2877</v>
      </c>
      <c r="J298" s="31">
        <v>4802.92</v>
      </c>
      <c r="K298" s="36" t="s">
        <v>2925</v>
      </c>
      <c r="L298" t="s">
        <v>2502</v>
      </c>
      <c r="M298" t="s">
        <v>67</v>
      </c>
      <c r="O298" t="s">
        <v>2711</v>
      </c>
      <c r="P298" t="s">
        <v>1341</v>
      </c>
      <c r="Q298" s="23">
        <v>46280.837455023146</v>
      </c>
      <c r="R298" s="32">
        <f>IF(OR(tbl_de_massas[[#This Row],[dia_vencimento]]="", tbl_de_massas[[#This Row],[dia_vencimento]]="--"), "", WORKDAY(tbl_de_massas[[#This Row],[dia_vencimento]], 5))</f>
        <v>12</v>
      </c>
    </row>
    <row r="299" spans="1:18" x14ac:dyDescent="0.25">
      <c r="A299" t="s">
        <v>2712</v>
      </c>
      <c r="B299" t="s">
        <v>2713</v>
      </c>
      <c r="C299" s="32" t="s">
        <v>5827</v>
      </c>
      <c r="D299" t="s">
        <v>2714</v>
      </c>
      <c r="E299" s="54">
        <v>8150.45</v>
      </c>
      <c r="F299" s="54">
        <v>835.49</v>
      </c>
      <c r="G299" s="54">
        <v>14346.21</v>
      </c>
      <c r="H299" s="54">
        <v>0</v>
      </c>
      <c r="I299" t="s">
        <v>2881</v>
      </c>
      <c r="J299" s="31">
        <v>835.49</v>
      </c>
      <c r="K299" s="36" t="s">
        <v>1306</v>
      </c>
      <c r="L299" t="s">
        <v>2504</v>
      </c>
      <c r="M299" t="s">
        <v>2715</v>
      </c>
      <c r="N299" t="s">
        <v>1345</v>
      </c>
      <c r="O299" t="s">
        <v>2716</v>
      </c>
      <c r="P299" t="s">
        <v>1345</v>
      </c>
      <c r="Q299" s="23">
        <v>46280.837568101852</v>
      </c>
      <c r="R299" s="32">
        <f>IF(OR(tbl_de_massas[[#This Row],[dia_vencimento]]="", tbl_de_massas[[#This Row],[dia_vencimento]]="--"), "", WORKDAY(tbl_de_massas[[#This Row],[dia_vencimento]], 5))</f>
        <v>12</v>
      </c>
    </row>
    <row r="300" spans="1:18" x14ac:dyDescent="0.25">
      <c r="A300" t="s">
        <v>2717</v>
      </c>
      <c r="B300" t="s">
        <v>2718</v>
      </c>
      <c r="C300" s="32" t="s">
        <v>611</v>
      </c>
      <c r="D300" t="s">
        <v>2719</v>
      </c>
      <c r="E300" s="54">
        <v>15220.9</v>
      </c>
      <c r="F300" s="54">
        <v>0</v>
      </c>
      <c r="G300" s="54">
        <v>13397.06</v>
      </c>
      <c r="H300" s="54">
        <v>0</v>
      </c>
      <c r="I300" t="s">
        <v>2881</v>
      </c>
      <c r="J300" s="31">
        <v>952.93</v>
      </c>
      <c r="K300" s="36" t="s">
        <v>1306</v>
      </c>
      <c r="L300" t="s">
        <v>2504</v>
      </c>
      <c r="M300" t="s">
        <v>2720</v>
      </c>
      <c r="N300" t="s">
        <v>1341</v>
      </c>
      <c r="O300" t="s">
        <v>2721</v>
      </c>
      <c r="P300" t="s">
        <v>1341</v>
      </c>
      <c r="Q300" s="23">
        <v>46280.837710347223</v>
      </c>
      <c r="R300" s="32">
        <f>IF(OR(tbl_de_massas[[#This Row],[dia_vencimento]]="", tbl_de_massas[[#This Row],[dia_vencimento]]="--"), "", WORKDAY(tbl_de_massas[[#This Row],[dia_vencimento]], 5))</f>
        <v>32</v>
      </c>
    </row>
    <row r="301" spans="1:18" x14ac:dyDescent="0.25">
      <c r="A301" t="s">
        <v>2722</v>
      </c>
      <c r="B301" t="s">
        <v>2723</v>
      </c>
      <c r="C301" s="32" t="s">
        <v>605</v>
      </c>
      <c r="D301" t="s">
        <v>2724</v>
      </c>
      <c r="E301" s="54">
        <v>7264.36</v>
      </c>
      <c r="F301" s="54">
        <v>781.9</v>
      </c>
      <c r="G301" s="54">
        <v>16208.75</v>
      </c>
      <c r="H301" s="54">
        <v>0</v>
      </c>
      <c r="I301" t="s">
        <v>2881</v>
      </c>
      <c r="J301" s="31">
        <v>781.9</v>
      </c>
      <c r="K301" s="36" t="s">
        <v>1306</v>
      </c>
      <c r="L301" t="s">
        <v>2504</v>
      </c>
      <c r="M301" t="s">
        <v>2725</v>
      </c>
      <c r="N301" t="s">
        <v>1341</v>
      </c>
      <c r="O301" t="s">
        <v>67</v>
      </c>
      <c r="Q301" s="23">
        <v>46280.838113472222</v>
      </c>
      <c r="R301" s="32">
        <f>IF(OR(tbl_de_massas[[#This Row],[dia_vencimento]]="", tbl_de_massas[[#This Row],[dia_vencimento]]="--"), "", WORKDAY(tbl_de_massas[[#This Row],[dia_vencimento]], 5))</f>
        <v>17</v>
      </c>
    </row>
    <row r="302" spans="1:18" x14ac:dyDescent="0.25">
      <c r="A302" t="s">
        <v>2805</v>
      </c>
      <c r="B302" t="s">
        <v>2821</v>
      </c>
      <c r="C302" s="32" t="s">
        <v>605</v>
      </c>
      <c r="D302" t="s">
        <v>2822</v>
      </c>
      <c r="E302" s="54">
        <v>12452.52</v>
      </c>
      <c r="F302" s="54">
        <v>4723.34</v>
      </c>
      <c r="G302" s="54">
        <v>273.63</v>
      </c>
      <c r="H302" s="54">
        <v>3870.86</v>
      </c>
      <c r="I302" t="s">
        <v>2877</v>
      </c>
      <c r="J302" s="31">
        <v>4723.34</v>
      </c>
      <c r="K302" s="36" t="s">
        <v>2925</v>
      </c>
      <c r="L302" t="s">
        <v>2502</v>
      </c>
      <c r="M302" t="s">
        <v>2823</v>
      </c>
      <c r="N302" t="s">
        <v>1345</v>
      </c>
      <c r="O302" t="s">
        <v>2824</v>
      </c>
      <c r="P302" t="s">
        <v>1345</v>
      </c>
      <c r="Q302" s="23">
        <v>46280.878631192129</v>
      </c>
      <c r="R302" s="32">
        <f>IF(OR(tbl_de_massas[[#This Row],[dia_vencimento]]="", tbl_de_massas[[#This Row],[dia_vencimento]]="--"), "", WORKDAY(tbl_de_massas[[#This Row],[dia_vencimento]], 5))</f>
        <v>17</v>
      </c>
    </row>
    <row r="303" spans="1:18" x14ac:dyDescent="0.25">
      <c r="A303" t="s">
        <v>2807</v>
      </c>
      <c r="B303" t="s">
        <v>2825</v>
      </c>
      <c r="C303" s="32" t="s">
        <v>605</v>
      </c>
      <c r="D303" t="s">
        <v>2826</v>
      </c>
      <c r="E303" s="54">
        <v>10755.37</v>
      </c>
      <c r="F303" s="54">
        <v>724.4</v>
      </c>
      <c r="G303" s="54">
        <v>6737.67</v>
      </c>
      <c r="H303" s="54">
        <v>0</v>
      </c>
      <c r="I303" t="s">
        <v>2881</v>
      </c>
      <c r="J303" s="31">
        <v>724.4</v>
      </c>
      <c r="K303" s="36" t="s">
        <v>1306</v>
      </c>
      <c r="L303" t="s">
        <v>2504</v>
      </c>
      <c r="M303" t="s">
        <v>2827</v>
      </c>
      <c r="N303" t="s">
        <v>1341</v>
      </c>
      <c r="O303" t="s">
        <v>67</v>
      </c>
      <c r="Q303" s="23">
        <v>46280.878757881947</v>
      </c>
      <c r="R303" s="32">
        <f>IF(OR(tbl_de_massas[[#This Row],[dia_vencimento]]="", tbl_de_massas[[#This Row],[dia_vencimento]]="--"), "", WORKDAY(tbl_de_massas[[#This Row],[dia_vencimento]], 5))</f>
        <v>17</v>
      </c>
    </row>
    <row r="304" spans="1:18" x14ac:dyDescent="0.25">
      <c r="A304" t="s">
        <v>2809</v>
      </c>
      <c r="B304" t="s">
        <v>2828</v>
      </c>
      <c r="C304" s="32" t="s">
        <v>611</v>
      </c>
      <c r="D304" t="s">
        <v>2829</v>
      </c>
      <c r="E304" s="54">
        <v>9838.65</v>
      </c>
      <c r="F304" s="54">
        <v>4665.7</v>
      </c>
      <c r="G304" s="54">
        <v>15813.94</v>
      </c>
      <c r="H304" s="54">
        <v>3870.86</v>
      </c>
      <c r="I304" t="s">
        <v>2877</v>
      </c>
      <c r="J304" s="31">
        <v>4665.7</v>
      </c>
      <c r="K304" s="36" t="s">
        <v>2925</v>
      </c>
      <c r="L304" t="s">
        <v>2502</v>
      </c>
      <c r="M304" t="s">
        <v>2830</v>
      </c>
      <c r="N304" t="s">
        <v>1341</v>
      </c>
      <c r="O304" t="s">
        <v>67</v>
      </c>
      <c r="Q304" s="23">
        <v>46280.878863206017</v>
      </c>
      <c r="R304" s="32">
        <f>IF(OR(tbl_de_massas[[#This Row],[dia_vencimento]]="", tbl_de_massas[[#This Row],[dia_vencimento]]="--"), "", WORKDAY(tbl_de_massas[[#This Row],[dia_vencimento]], 5))</f>
        <v>32</v>
      </c>
    </row>
    <row r="305" spans="1:18" x14ac:dyDescent="0.25">
      <c r="A305" t="s">
        <v>2811</v>
      </c>
      <c r="B305" t="s">
        <v>2831</v>
      </c>
      <c r="C305" s="32" t="s">
        <v>607</v>
      </c>
      <c r="D305" t="s">
        <v>2832</v>
      </c>
      <c r="E305" s="54">
        <v>10298.299999999999</v>
      </c>
      <c r="F305" s="54">
        <v>5048.5200000000004</v>
      </c>
      <c r="G305" s="54">
        <v>7266.22</v>
      </c>
      <c r="H305" s="54">
        <v>3870.86</v>
      </c>
      <c r="I305" t="s">
        <v>2877</v>
      </c>
      <c r="J305" s="31">
        <v>5048.5200000000004</v>
      </c>
      <c r="K305" s="36" t="s">
        <v>2925</v>
      </c>
      <c r="L305" t="s">
        <v>2502</v>
      </c>
      <c r="M305" t="s">
        <v>67</v>
      </c>
      <c r="O305" t="s">
        <v>2833</v>
      </c>
      <c r="P305" t="s">
        <v>1345</v>
      </c>
      <c r="Q305" s="23">
        <v>46280.879030300923</v>
      </c>
      <c r="R305" s="32">
        <f>IF(OR(tbl_de_massas[[#This Row],[dia_vencimento]]="", tbl_de_massas[[#This Row],[dia_vencimento]]="--"), "", WORKDAY(tbl_de_massas[[#This Row],[dia_vencimento]], 5))</f>
        <v>20</v>
      </c>
    </row>
    <row r="306" spans="1:18" x14ac:dyDescent="0.25">
      <c r="A306" t="s">
        <v>2813</v>
      </c>
      <c r="B306" t="s">
        <v>2834</v>
      </c>
      <c r="C306" s="32" t="s">
        <v>607</v>
      </c>
      <c r="D306" t="s">
        <v>2835</v>
      </c>
      <c r="E306" s="54">
        <v>9970.2099999999991</v>
      </c>
      <c r="F306" s="54">
        <v>4739.16</v>
      </c>
      <c r="G306" s="54">
        <v>13982.58</v>
      </c>
      <c r="H306" s="54">
        <v>3870.86</v>
      </c>
      <c r="I306" t="s">
        <v>2877</v>
      </c>
      <c r="J306" s="31">
        <v>4739.16</v>
      </c>
      <c r="K306" s="36" t="s">
        <v>2925</v>
      </c>
      <c r="L306" t="s">
        <v>2502</v>
      </c>
      <c r="M306" t="s">
        <v>2836</v>
      </c>
      <c r="N306" t="s">
        <v>1345</v>
      </c>
      <c r="O306" t="s">
        <v>2837</v>
      </c>
      <c r="P306" t="s">
        <v>1345</v>
      </c>
      <c r="Q306" s="23">
        <v>46280.879128356479</v>
      </c>
      <c r="R306" s="32">
        <f>IF(OR(tbl_de_massas[[#This Row],[dia_vencimento]]="", tbl_de_massas[[#This Row],[dia_vencimento]]="--"), "", WORKDAY(tbl_de_massas[[#This Row],[dia_vencimento]], 5))</f>
        <v>20</v>
      </c>
    </row>
    <row r="307" spans="1:18" x14ac:dyDescent="0.25">
      <c r="A307" t="s">
        <v>2815</v>
      </c>
      <c r="B307" t="s">
        <v>2838</v>
      </c>
      <c r="C307" s="32" t="s">
        <v>611</v>
      </c>
      <c r="D307" t="s">
        <v>2839</v>
      </c>
      <c r="E307" s="54">
        <v>6931.8</v>
      </c>
      <c r="F307" s="54">
        <v>0</v>
      </c>
      <c r="G307" s="54">
        <v>14546.3</v>
      </c>
      <c r="H307" s="54">
        <v>0</v>
      </c>
      <c r="I307" t="s">
        <v>2881</v>
      </c>
      <c r="J307" s="31">
        <v>994.27</v>
      </c>
      <c r="K307" s="36" t="s">
        <v>1306</v>
      </c>
      <c r="L307" t="s">
        <v>2504</v>
      </c>
      <c r="M307" t="s">
        <v>67</v>
      </c>
      <c r="O307" t="s">
        <v>2840</v>
      </c>
      <c r="P307" t="s">
        <v>1341</v>
      </c>
      <c r="Q307" s="23">
        <v>46280.879301006942</v>
      </c>
      <c r="R307" s="32">
        <f>IF(OR(tbl_de_massas[[#This Row],[dia_vencimento]]="", tbl_de_massas[[#This Row],[dia_vencimento]]="--"), "", WORKDAY(tbl_de_massas[[#This Row],[dia_vencimento]], 5))</f>
        <v>32</v>
      </c>
    </row>
    <row r="308" spans="1:18" x14ac:dyDescent="0.25">
      <c r="A308" t="s">
        <v>2817</v>
      </c>
      <c r="B308" t="s">
        <v>2841</v>
      </c>
      <c r="C308" s="32" t="s">
        <v>611</v>
      </c>
      <c r="D308" t="s">
        <v>2842</v>
      </c>
      <c r="E308" s="54">
        <v>13151.74</v>
      </c>
      <c r="F308" s="54">
        <v>5058.37</v>
      </c>
      <c r="G308" s="54">
        <v>598.25</v>
      </c>
      <c r="H308" s="54">
        <v>3870.86</v>
      </c>
      <c r="I308" t="s">
        <v>2877</v>
      </c>
      <c r="J308" s="31">
        <v>5058.37</v>
      </c>
      <c r="K308" s="36" t="s">
        <v>2925</v>
      </c>
      <c r="L308" t="s">
        <v>2502</v>
      </c>
      <c r="M308" t="s">
        <v>2843</v>
      </c>
      <c r="N308" t="s">
        <v>1341</v>
      </c>
      <c r="O308" t="s">
        <v>67</v>
      </c>
      <c r="Q308" s="23">
        <v>46280.879471064814</v>
      </c>
      <c r="R308" s="32">
        <f>IF(OR(tbl_de_massas[[#This Row],[dia_vencimento]]="", tbl_de_massas[[#This Row],[dia_vencimento]]="--"), "", WORKDAY(tbl_de_massas[[#This Row],[dia_vencimento]], 5))</f>
        <v>32</v>
      </c>
    </row>
    <row r="309" spans="1:18" x14ac:dyDescent="0.25">
      <c r="A309" t="s">
        <v>2819</v>
      </c>
      <c r="B309" t="s">
        <v>2844</v>
      </c>
      <c r="C309" s="32" t="s">
        <v>605</v>
      </c>
      <c r="D309" t="s">
        <v>2845</v>
      </c>
      <c r="E309" s="54">
        <v>15485.59</v>
      </c>
      <c r="F309" s="54">
        <v>5053.1899999999996</v>
      </c>
      <c r="G309" s="54">
        <v>13269.78</v>
      </c>
      <c r="H309" s="54">
        <v>3870.86</v>
      </c>
      <c r="I309" t="s">
        <v>2877</v>
      </c>
      <c r="J309" s="31">
        <v>5053.1899999999996</v>
      </c>
      <c r="K309" s="36" t="s">
        <v>2925</v>
      </c>
      <c r="L309" t="s">
        <v>2502</v>
      </c>
      <c r="M309" t="s">
        <v>2846</v>
      </c>
      <c r="N309" t="s">
        <v>1341</v>
      </c>
      <c r="O309" t="s">
        <v>67</v>
      </c>
      <c r="Q309" s="23">
        <v>46280.879560208334</v>
      </c>
      <c r="R309" s="32">
        <f>IF(OR(tbl_de_massas[[#This Row],[dia_vencimento]]="", tbl_de_massas[[#This Row],[dia_vencimento]]="--"), "", WORKDAY(tbl_de_massas[[#This Row],[dia_vencimento]], 5))</f>
        <v>17</v>
      </c>
    </row>
    <row r="310" spans="1:18" x14ac:dyDescent="0.25">
      <c r="A310" t="s">
        <v>2847</v>
      </c>
      <c r="B310" t="s">
        <v>2848</v>
      </c>
      <c r="C310" s="32" t="s">
        <v>607</v>
      </c>
      <c r="D310" t="s">
        <v>1747</v>
      </c>
      <c r="E310" s="54">
        <v>13351.07</v>
      </c>
      <c r="F310" s="54">
        <v>4925.5</v>
      </c>
      <c r="G310" s="54">
        <v>-2236.08</v>
      </c>
      <c r="H310" s="54">
        <v>3870.86</v>
      </c>
      <c r="I310" t="s">
        <v>2877</v>
      </c>
      <c r="J310" s="31">
        <v>4925.5</v>
      </c>
      <c r="K310" s="36" t="s">
        <v>2925</v>
      </c>
      <c r="L310" t="s">
        <v>2502</v>
      </c>
      <c r="M310" t="s">
        <v>67</v>
      </c>
      <c r="O310" t="s">
        <v>2849</v>
      </c>
      <c r="P310" t="s">
        <v>1341</v>
      </c>
      <c r="Q310" s="23">
        <v>46280.879969166665</v>
      </c>
      <c r="R310" s="32">
        <f>IF(OR(tbl_de_massas[[#This Row],[dia_vencimento]]="", tbl_de_massas[[#This Row],[dia_vencimento]]="--"), "", WORKDAY(tbl_de_massas[[#This Row],[dia_vencimento]], 5))</f>
        <v>20</v>
      </c>
    </row>
    <row r="311" spans="1:18" x14ac:dyDescent="0.25">
      <c r="A311" t="s">
        <v>2850</v>
      </c>
      <c r="B311" t="s">
        <v>2851</v>
      </c>
      <c r="C311" s="32" t="s">
        <v>607</v>
      </c>
      <c r="D311" t="s">
        <v>2852</v>
      </c>
      <c r="E311" s="54">
        <v>12609.55</v>
      </c>
      <c r="F311" s="54">
        <v>4920.1899999999996</v>
      </c>
      <c r="G311" s="54">
        <v>1032.8</v>
      </c>
      <c r="H311" s="54">
        <v>3870.86</v>
      </c>
      <c r="I311" t="s">
        <v>2877</v>
      </c>
      <c r="J311" s="31">
        <v>4920.1899999999996</v>
      </c>
      <c r="K311" s="36" t="s">
        <v>2925</v>
      </c>
      <c r="L311" t="s">
        <v>2502</v>
      </c>
      <c r="M311" t="s">
        <v>67</v>
      </c>
      <c r="O311" t="s">
        <v>2853</v>
      </c>
      <c r="P311" t="s">
        <v>1341</v>
      </c>
      <c r="Q311" s="23">
        <v>46280.880173437501</v>
      </c>
      <c r="R311" s="32">
        <f>IF(OR(tbl_de_massas[[#This Row],[dia_vencimento]]="", tbl_de_massas[[#This Row],[dia_vencimento]]="--"), "", WORKDAY(tbl_de_massas[[#This Row],[dia_vencimento]], 5))</f>
        <v>20</v>
      </c>
    </row>
    <row r="312" spans="1:18" x14ac:dyDescent="0.25">
      <c r="A312" t="s">
        <v>2854</v>
      </c>
      <c r="B312" t="s">
        <v>2855</v>
      </c>
      <c r="C312" s="32" t="s">
        <v>608</v>
      </c>
      <c r="D312" t="s">
        <v>2856</v>
      </c>
      <c r="E312" s="54">
        <v>13863.41</v>
      </c>
      <c r="F312" s="54">
        <v>4965.5200000000004</v>
      </c>
      <c r="G312" s="54">
        <v>1489.59</v>
      </c>
      <c r="H312" s="54">
        <v>3870.86</v>
      </c>
      <c r="I312" t="s">
        <v>2877</v>
      </c>
      <c r="J312" s="31">
        <v>4965.5200000000004</v>
      </c>
      <c r="K312" s="36" t="s">
        <v>2925</v>
      </c>
      <c r="L312" t="s">
        <v>2502</v>
      </c>
      <c r="M312" t="s">
        <v>2857</v>
      </c>
      <c r="N312" t="s">
        <v>1341</v>
      </c>
      <c r="O312" t="s">
        <v>67</v>
      </c>
      <c r="Q312" s="23">
        <v>46280.88029108796</v>
      </c>
      <c r="R312" s="32">
        <f>IF(OR(tbl_de_massas[[#This Row],[dia_vencimento]]="", tbl_de_massas[[#This Row],[dia_vencimento]]="--"), "", WORKDAY(tbl_de_massas[[#This Row],[dia_vencimento]], 5))</f>
        <v>27</v>
      </c>
    </row>
    <row r="313" spans="1:18" x14ac:dyDescent="0.25">
      <c r="A313" t="s">
        <v>2858</v>
      </c>
      <c r="B313" t="s">
        <v>2859</v>
      </c>
      <c r="C313" s="32" t="s">
        <v>611</v>
      </c>
      <c r="D313" t="s">
        <v>2860</v>
      </c>
      <c r="E313" s="54">
        <v>15262.47</v>
      </c>
      <c r="F313" s="54">
        <v>4782.45</v>
      </c>
      <c r="G313" s="54">
        <v>6244.56</v>
      </c>
      <c r="H313" s="54">
        <v>3870.86</v>
      </c>
      <c r="I313" t="s">
        <v>2877</v>
      </c>
      <c r="J313" s="31">
        <v>4782.45</v>
      </c>
      <c r="K313" s="36" t="s">
        <v>2925</v>
      </c>
      <c r="L313" t="s">
        <v>2502</v>
      </c>
      <c r="M313" t="s">
        <v>2861</v>
      </c>
      <c r="N313" t="s">
        <v>1345</v>
      </c>
      <c r="O313" t="s">
        <v>67</v>
      </c>
      <c r="Q313" s="23">
        <v>46280.880413344908</v>
      </c>
      <c r="R313" s="32">
        <f>IF(OR(tbl_de_massas[[#This Row],[dia_vencimento]]="", tbl_de_massas[[#This Row],[dia_vencimento]]="--"), "", WORKDAY(tbl_de_massas[[#This Row],[dia_vencimento]], 5))</f>
        <v>32</v>
      </c>
    </row>
    <row r="314" spans="1:18" x14ac:dyDescent="0.25">
      <c r="A314" t="s">
        <v>2862</v>
      </c>
      <c r="B314" t="s">
        <v>2863</v>
      </c>
      <c r="C314" s="32" t="s">
        <v>5827</v>
      </c>
      <c r="D314" t="s">
        <v>2864</v>
      </c>
      <c r="E314" s="54">
        <v>15358.95</v>
      </c>
      <c r="F314" s="54">
        <v>4799</v>
      </c>
      <c r="G314" s="54">
        <v>8436.1200000000008</v>
      </c>
      <c r="H314" s="54">
        <v>3870.86</v>
      </c>
      <c r="I314" t="s">
        <v>2877</v>
      </c>
      <c r="J314" s="31">
        <v>4799</v>
      </c>
      <c r="K314" s="36" t="s">
        <v>2925</v>
      </c>
      <c r="L314" t="s">
        <v>2502</v>
      </c>
      <c r="M314" t="s">
        <v>2865</v>
      </c>
      <c r="N314" t="s">
        <v>1341</v>
      </c>
      <c r="O314" t="s">
        <v>67</v>
      </c>
      <c r="Q314" s="23">
        <v>46280.887824768521</v>
      </c>
      <c r="R314" s="32">
        <f>IF(OR(tbl_de_massas[[#This Row],[dia_vencimento]]="", tbl_de_massas[[#This Row],[dia_vencimento]]="--"), "", WORKDAY(tbl_de_massas[[#This Row],[dia_vencimento]], 5))</f>
        <v>12</v>
      </c>
    </row>
    <row r="315" spans="1:18" x14ac:dyDescent="0.25">
      <c r="A315" t="s">
        <v>2866</v>
      </c>
      <c r="B315" t="s">
        <v>2867</v>
      </c>
      <c r="C315" s="32" t="s">
        <v>5827</v>
      </c>
      <c r="D315" t="s">
        <v>2868</v>
      </c>
      <c r="E315" s="54">
        <v>11323.25</v>
      </c>
      <c r="F315" s="54">
        <v>4908.43</v>
      </c>
      <c r="G315" s="54">
        <v>-1202.79</v>
      </c>
      <c r="H315" s="54">
        <v>3870.86</v>
      </c>
      <c r="I315" t="s">
        <v>2877</v>
      </c>
      <c r="J315" s="31">
        <v>4908.43</v>
      </c>
      <c r="K315" s="36" t="s">
        <v>2925</v>
      </c>
      <c r="L315" t="s">
        <v>2502</v>
      </c>
      <c r="M315" t="s">
        <v>67</v>
      </c>
      <c r="O315" t="s">
        <v>2869</v>
      </c>
      <c r="P315" t="s">
        <v>1341</v>
      </c>
      <c r="Q315" s="23">
        <v>46280.888084259263</v>
      </c>
      <c r="R315" s="32">
        <f>IF(OR(tbl_de_massas[[#This Row],[dia_vencimento]]="", tbl_de_massas[[#This Row],[dia_vencimento]]="--"), "", WORKDAY(tbl_de_massas[[#This Row],[dia_vencimento]], 5))</f>
        <v>12</v>
      </c>
    </row>
    <row r="316" spans="1:18" x14ac:dyDescent="0.25">
      <c r="A316" t="s">
        <v>2870</v>
      </c>
      <c r="B316" t="s">
        <v>2871</v>
      </c>
      <c r="C316" s="32" t="s">
        <v>5827</v>
      </c>
      <c r="D316" t="s">
        <v>2872</v>
      </c>
      <c r="E316" s="54">
        <v>10890.49</v>
      </c>
      <c r="F316" s="54">
        <v>4631.22</v>
      </c>
      <c r="G316" s="54">
        <v>16792.8</v>
      </c>
      <c r="H316" s="54">
        <v>3870.86</v>
      </c>
      <c r="I316" t="s">
        <v>2877</v>
      </c>
      <c r="J316" s="31">
        <v>4631.22</v>
      </c>
      <c r="K316" s="36" t="s">
        <v>2925</v>
      </c>
      <c r="L316" t="s">
        <v>2502</v>
      </c>
      <c r="M316" t="s">
        <v>2873</v>
      </c>
      <c r="N316" t="s">
        <v>1341</v>
      </c>
      <c r="O316" t="s">
        <v>2874</v>
      </c>
      <c r="P316" t="s">
        <v>1341</v>
      </c>
      <c r="Q316" s="23">
        <v>46280.888241215274</v>
      </c>
      <c r="R316" s="32">
        <f>IF(OR(tbl_de_massas[[#This Row],[dia_vencimento]]="", tbl_de_massas[[#This Row],[dia_vencimento]]="--"), "", WORKDAY(tbl_de_massas[[#This Row],[dia_vencimento]], 5))</f>
        <v>12</v>
      </c>
    </row>
    <row r="317" spans="1:18" x14ac:dyDescent="0.25">
      <c r="A317" t="s">
        <v>2883</v>
      </c>
      <c r="B317" t="s">
        <v>2884</v>
      </c>
      <c r="C317" s="32" t="s">
        <v>5827</v>
      </c>
      <c r="D317" t="s">
        <v>2885</v>
      </c>
      <c r="E317" s="54">
        <v>15421.47</v>
      </c>
      <c r="F317" s="54">
        <v>5080.58</v>
      </c>
      <c r="G317" s="54">
        <v>13565.5</v>
      </c>
      <c r="H317" s="54">
        <v>3870.86</v>
      </c>
      <c r="I317" t="s">
        <v>2877</v>
      </c>
      <c r="J317" s="31">
        <v>5080.58</v>
      </c>
      <c r="K317" s="36" t="s">
        <v>2925</v>
      </c>
      <c r="L317" t="s">
        <v>2502</v>
      </c>
      <c r="M317" t="s">
        <v>67</v>
      </c>
      <c r="O317" t="s">
        <v>2886</v>
      </c>
      <c r="P317" t="s">
        <v>1341</v>
      </c>
      <c r="Q317" s="23">
        <v>46280.903553217591</v>
      </c>
      <c r="R317" s="32">
        <f>IF(OR(tbl_de_massas[[#This Row],[dia_vencimento]]="", tbl_de_massas[[#This Row],[dia_vencimento]]="--"), "", WORKDAY(tbl_de_massas[[#This Row],[dia_vencimento]], 5))</f>
        <v>12</v>
      </c>
    </row>
    <row r="318" spans="1:18" x14ac:dyDescent="0.25">
      <c r="A318" t="s">
        <v>2887</v>
      </c>
      <c r="B318" t="s">
        <v>2888</v>
      </c>
      <c r="C318" s="32" t="s">
        <v>605</v>
      </c>
      <c r="D318" t="s">
        <v>2889</v>
      </c>
      <c r="E318" s="54">
        <v>14927.73</v>
      </c>
      <c r="F318" s="54">
        <v>4987.72</v>
      </c>
      <c r="G318" s="54">
        <v>10978.92</v>
      </c>
      <c r="H318" s="54">
        <v>3870.86</v>
      </c>
      <c r="I318" t="s">
        <v>2877</v>
      </c>
      <c r="J318" s="31">
        <v>4987.72</v>
      </c>
      <c r="K318" s="36" t="s">
        <v>2925</v>
      </c>
      <c r="L318" t="s">
        <v>2502</v>
      </c>
      <c r="M318" t="s">
        <v>2890</v>
      </c>
      <c r="N318" t="s">
        <v>1341</v>
      </c>
      <c r="O318" t="s">
        <v>67</v>
      </c>
      <c r="Q318" s="23">
        <v>46280.903695810186</v>
      </c>
      <c r="R318" s="32">
        <f>IF(OR(tbl_de_massas[[#This Row],[dia_vencimento]]="", tbl_de_massas[[#This Row],[dia_vencimento]]="--"), "", WORKDAY(tbl_de_massas[[#This Row],[dia_vencimento]], 5))</f>
        <v>17</v>
      </c>
    </row>
    <row r="319" spans="1:18" x14ac:dyDescent="0.25">
      <c r="A319" t="s">
        <v>2891</v>
      </c>
      <c r="B319" t="s">
        <v>2892</v>
      </c>
      <c r="C319" s="32" t="s">
        <v>607</v>
      </c>
      <c r="D319" t="s">
        <v>2893</v>
      </c>
      <c r="E319" s="54">
        <v>9610.76</v>
      </c>
      <c r="F319" s="54">
        <v>4794.1000000000004</v>
      </c>
      <c r="G319" s="54">
        <v>3122.81</v>
      </c>
      <c r="H319" s="54">
        <v>3870.86</v>
      </c>
      <c r="I319" t="s">
        <v>2877</v>
      </c>
      <c r="J319" s="31">
        <v>4794.1000000000004</v>
      </c>
      <c r="K319" s="36" t="s">
        <v>2925</v>
      </c>
      <c r="L319" t="s">
        <v>2502</v>
      </c>
      <c r="M319" t="s">
        <v>2894</v>
      </c>
      <c r="N319" t="s">
        <v>1341</v>
      </c>
      <c r="O319" t="s">
        <v>67</v>
      </c>
      <c r="Q319" s="23">
        <v>46280.90383664352</v>
      </c>
      <c r="R319" s="32">
        <f>IF(OR(tbl_de_massas[[#This Row],[dia_vencimento]]="", tbl_de_massas[[#This Row],[dia_vencimento]]="--"), "", WORKDAY(tbl_de_massas[[#This Row],[dia_vencimento]], 5))</f>
        <v>20</v>
      </c>
    </row>
    <row r="320" spans="1:18" x14ac:dyDescent="0.25">
      <c r="A320" t="s">
        <v>2895</v>
      </c>
      <c r="B320" t="s">
        <v>2896</v>
      </c>
      <c r="C320" s="32" t="s">
        <v>607</v>
      </c>
      <c r="D320" t="s">
        <v>2897</v>
      </c>
      <c r="E320" s="54">
        <v>8848.3799999999992</v>
      </c>
      <c r="F320" s="54">
        <v>219.21</v>
      </c>
      <c r="G320" s="54">
        <v>11713.94</v>
      </c>
      <c r="H320" s="54">
        <v>0</v>
      </c>
      <c r="I320" t="s">
        <v>2881</v>
      </c>
      <c r="J320" s="31">
        <v>986.41</v>
      </c>
      <c r="K320" s="36" t="s">
        <v>1306</v>
      </c>
      <c r="L320" t="s">
        <v>2504</v>
      </c>
      <c r="M320" t="s">
        <v>2898</v>
      </c>
      <c r="N320" t="s">
        <v>1341</v>
      </c>
      <c r="O320" t="s">
        <v>2899</v>
      </c>
      <c r="P320" t="s">
        <v>1341</v>
      </c>
      <c r="Q320" s="23">
        <v>46280.903966203703</v>
      </c>
      <c r="R320" s="32">
        <f>IF(OR(tbl_de_massas[[#This Row],[dia_vencimento]]="", tbl_de_massas[[#This Row],[dia_vencimento]]="--"), "", WORKDAY(tbl_de_massas[[#This Row],[dia_vencimento]], 5))</f>
        <v>20</v>
      </c>
    </row>
    <row r="321" spans="1:18" x14ac:dyDescent="0.25">
      <c r="A321" t="s">
        <v>2902</v>
      </c>
      <c r="B321" t="s">
        <v>2903</v>
      </c>
      <c r="C321" s="32" t="s">
        <v>611</v>
      </c>
      <c r="D321" t="s">
        <v>2904</v>
      </c>
      <c r="E321" s="54">
        <v>3665.08</v>
      </c>
      <c r="F321" s="54">
        <v>4911.5200000000004</v>
      </c>
      <c r="G321" s="54">
        <v>3140.13</v>
      </c>
      <c r="H321" s="54">
        <v>3870.86</v>
      </c>
      <c r="I321" t="s">
        <v>2877</v>
      </c>
      <c r="J321" s="31">
        <v>4911.5200000000004</v>
      </c>
      <c r="K321" s="36" t="s">
        <v>2925</v>
      </c>
      <c r="L321" t="s">
        <v>2502</v>
      </c>
      <c r="M321" t="s">
        <v>2905</v>
      </c>
      <c r="N321" t="s">
        <v>1341</v>
      </c>
      <c r="O321" t="s">
        <v>2906</v>
      </c>
      <c r="P321" t="s">
        <v>1341</v>
      </c>
      <c r="Q321" s="23">
        <v>46280.948795891207</v>
      </c>
      <c r="R321" s="32">
        <f>IF(OR(tbl_de_massas[[#This Row],[dia_vencimento]]="", tbl_de_massas[[#This Row],[dia_vencimento]]="--"), "", WORKDAY(tbl_de_massas[[#This Row],[dia_vencimento]], 5))</f>
        <v>32</v>
      </c>
    </row>
    <row r="322" spans="1:18" x14ac:dyDescent="0.25">
      <c r="A322" t="s">
        <v>2907</v>
      </c>
      <c r="B322" t="s">
        <v>2908</v>
      </c>
      <c r="C322" s="32" t="s">
        <v>5827</v>
      </c>
      <c r="D322" t="s">
        <v>1870</v>
      </c>
      <c r="E322" s="54">
        <v>2825.07</v>
      </c>
      <c r="F322" s="54">
        <v>788.49</v>
      </c>
      <c r="G322" s="54">
        <v>19092.37</v>
      </c>
      <c r="H322" s="54">
        <v>0</v>
      </c>
      <c r="I322" t="s">
        <v>2881</v>
      </c>
      <c r="J322" s="31">
        <v>788.49</v>
      </c>
      <c r="K322" s="36" t="s">
        <v>1306</v>
      </c>
      <c r="L322" t="s">
        <v>2504</v>
      </c>
      <c r="M322" t="s">
        <v>67</v>
      </c>
      <c r="O322" t="s">
        <v>2909</v>
      </c>
      <c r="P322" t="s">
        <v>1341</v>
      </c>
      <c r="Q322" s="23">
        <v>46280.964921134262</v>
      </c>
      <c r="R322" s="32">
        <f>IF(OR(tbl_de_massas[[#This Row],[dia_vencimento]]="", tbl_de_massas[[#This Row],[dia_vencimento]]="--"), "", WORKDAY(tbl_de_massas[[#This Row],[dia_vencimento]], 5))</f>
        <v>12</v>
      </c>
    </row>
    <row r="323" spans="1:18" x14ac:dyDescent="0.25">
      <c r="A323" t="s">
        <v>2910</v>
      </c>
      <c r="B323" t="s">
        <v>2911</v>
      </c>
      <c r="C323" s="32" t="s">
        <v>611</v>
      </c>
      <c r="D323" t="s">
        <v>2912</v>
      </c>
      <c r="E323" s="54">
        <v>4064.08</v>
      </c>
      <c r="F323" s="54">
        <v>4898.53</v>
      </c>
      <c r="G323" s="54">
        <v>8435.52</v>
      </c>
      <c r="H323" s="54">
        <v>3870.86</v>
      </c>
      <c r="I323" t="s">
        <v>2877</v>
      </c>
      <c r="J323" s="31">
        <v>4898.53</v>
      </c>
      <c r="K323" s="36" t="s">
        <v>2925</v>
      </c>
      <c r="L323" t="s">
        <v>2502</v>
      </c>
      <c r="M323" t="s">
        <v>2913</v>
      </c>
      <c r="N323" t="s">
        <v>1341</v>
      </c>
      <c r="O323" t="s">
        <v>67</v>
      </c>
      <c r="Q323" s="23">
        <v>46280.965042025462</v>
      </c>
      <c r="R323" s="32">
        <f>IF(OR(tbl_de_massas[[#This Row],[dia_vencimento]]="", tbl_de_massas[[#This Row],[dia_vencimento]]="--"), "", WORKDAY(tbl_de_massas[[#This Row],[dia_vencimento]], 5))</f>
        <v>32</v>
      </c>
    </row>
    <row r="324" spans="1:18" x14ac:dyDescent="0.25">
      <c r="A324" t="s">
        <v>2914</v>
      </c>
      <c r="B324" t="s">
        <v>2915</v>
      </c>
      <c r="C324" s="32" t="s">
        <v>607</v>
      </c>
      <c r="D324" t="s">
        <v>1682</v>
      </c>
      <c r="E324" s="54">
        <v>13294.4</v>
      </c>
      <c r="F324" s="54">
        <v>4894.04</v>
      </c>
      <c r="G324" s="54">
        <v>7548.63</v>
      </c>
      <c r="H324" s="54">
        <v>3870.86</v>
      </c>
      <c r="I324" t="s">
        <v>2877</v>
      </c>
      <c r="J324" s="31">
        <v>4894.04</v>
      </c>
      <c r="K324" s="36" t="s">
        <v>2925</v>
      </c>
      <c r="L324" t="s">
        <v>2502</v>
      </c>
      <c r="M324" t="s">
        <v>2916</v>
      </c>
      <c r="N324" t="s">
        <v>1341</v>
      </c>
      <c r="O324" t="s">
        <v>67</v>
      </c>
      <c r="Q324" s="23">
        <v>46280.965122777779</v>
      </c>
      <c r="R324" s="32">
        <f>IF(OR(tbl_de_massas[[#This Row],[dia_vencimento]]="", tbl_de_massas[[#This Row],[dia_vencimento]]="--"), "", WORKDAY(tbl_de_massas[[#This Row],[dia_vencimento]], 5))</f>
        <v>20</v>
      </c>
    </row>
    <row r="325" spans="1:18" x14ac:dyDescent="0.25">
      <c r="A325" t="s">
        <v>2926</v>
      </c>
      <c r="B325" t="s">
        <v>2927</v>
      </c>
      <c r="C325" s="32" t="s">
        <v>5827</v>
      </c>
      <c r="D325" t="s">
        <v>1880</v>
      </c>
      <c r="E325" s="54">
        <v>3788.95</v>
      </c>
      <c r="F325" s="54">
        <v>819.63</v>
      </c>
      <c r="G325" s="54">
        <v>19100.98</v>
      </c>
      <c r="H325" s="54">
        <v>0</v>
      </c>
      <c r="I325" t="s">
        <v>2881</v>
      </c>
      <c r="J325" s="31">
        <v>819.63</v>
      </c>
      <c r="K325" s="36" t="s">
        <v>1306</v>
      </c>
      <c r="L325" t="s">
        <v>2504</v>
      </c>
      <c r="M325" t="s">
        <v>67</v>
      </c>
      <c r="O325" t="s">
        <v>2928</v>
      </c>
      <c r="P325" t="s">
        <v>1345</v>
      </c>
      <c r="Q325" s="23">
        <v>46281.00670810185</v>
      </c>
      <c r="R325" s="32">
        <f>IF(OR(tbl_de_massas[[#This Row],[dia_vencimento]]="", tbl_de_massas[[#This Row],[dia_vencimento]]="--"), "", WORKDAY(tbl_de_massas[[#This Row],[dia_vencimento]], 5))</f>
        <v>12</v>
      </c>
    </row>
    <row r="326" spans="1:18" x14ac:dyDescent="0.25">
      <c r="A326" t="s">
        <v>2929</v>
      </c>
      <c r="B326" t="s">
        <v>2930</v>
      </c>
      <c r="C326" s="32" t="s">
        <v>5827</v>
      </c>
      <c r="D326" t="s">
        <v>1413</v>
      </c>
      <c r="E326" s="54">
        <v>2966.43</v>
      </c>
      <c r="F326" s="54">
        <v>4861.87</v>
      </c>
      <c r="G326" s="54">
        <v>15037.94</v>
      </c>
      <c r="H326" s="54">
        <v>3870.86</v>
      </c>
      <c r="I326" t="s">
        <v>2877</v>
      </c>
      <c r="J326" s="31">
        <v>4861.87</v>
      </c>
      <c r="K326" s="36" t="s">
        <v>2675</v>
      </c>
      <c r="L326" t="s">
        <v>2502</v>
      </c>
      <c r="M326" t="s">
        <v>67</v>
      </c>
      <c r="O326" t="s">
        <v>2931</v>
      </c>
      <c r="P326" t="s">
        <v>1341</v>
      </c>
      <c r="Q326" s="23">
        <v>46281.006750208333</v>
      </c>
      <c r="R326" s="32">
        <f>IF(OR(tbl_de_massas[[#This Row],[dia_vencimento]]="", tbl_de_massas[[#This Row],[dia_vencimento]]="--"), "", WORKDAY(tbl_de_massas[[#This Row],[dia_vencimento]], 5))</f>
        <v>12</v>
      </c>
    </row>
    <row r="327" spans="1:18" x14ac:dyDescent="0.25">
      <c r="A327" t="s">
        <v>2932</v>
      </c>
      <c r="B327" t="s">
        <v>2933</v>
      </c>
      <c r="C327" s="32" t="s">
        <v>608</v>
      </c>
      <c r="D327" t="s">
        <v>1413</v>
      </c>
      <c r="E327" s="54">
        <v>8765.3700000000008</v>
      </c>
      <c r="F327" s="54">
        <v>4969.72</v>
      </c>
      <c r="G327" s="54">
        <v>12299.79</v>
      </c>
      <c r="H327" s="54">
        <v>3870.86</v>
      </c>
      <c r="I327" t="s">
        <v>2877</v>
      </c>
      <c r="J327" s="31">
        <v>4969.72</v>
      </c>
      <c r="K327" s="36" t="s">
        <v>2675</v>
      </c>
      <c r="L327" t="s">
        <v>2502</v>
      </c>
      <c r="M327" t="s">
        <v>67</v>
      </c>
      <c r="O327" t="s">
        <v>2934</v>
      </c>
      <c r="P327" t="s">
        <v>1341</v>
      </c>
      <c r="Q327" s="23">
        <v>46281.006789236111</v>
      </c>
      <c r="R327" s="32">
        <f>IF(OR(tbl_de_massas[[#This Row],[dia_vencimento]]="", tbl_de_massas[[#This Row],[dia_vencimento]]="--"), "", WORKDAY(tbl_de_massas[[#This Row],[dia_vencimento]], 5))</f>
        <v>27</v>
      </c>
    </row>
    <row r="328" spans="1:18" x14ac:dyDescent="0.25">
      <c r="A328" t="s">
        <v>2935</v>
      </c>
      <c r="B328" t="s">
        <v>2936</v>
      </c>
      <c r="C328" s="32" t="s">
        <v>605</v>
      </c>
      <c r="D328" t="s">
        <v>2105</v>
      </c>
      <c r="E328" s="54">
        <v>6922.42</v>
      </c>
      <c r="F328" s="54">
        <v>5047.1899999999996</v>
      </c>
      <c r="G328" s="54">
        <v>8929.65</v>
      </c>
      <c r="H328" s="54">
        <v>3870.86</v>
      </c>
      <c r="I328" t="s">
        <v>2877</v>
      </c>
      <c r="J328" s="31">
        <v>5047.1899999999996</v>
      </c>
      <c r="K328" s="36" t="s">
        <v>2675</v>
      </c>
      <c r="L328" t="s">
        <v>2502</v>
      </c>
      <c r="M328" t="s">
        <v>2937</v>
      </c>
      <c r="N328" t="s">
        <v>1341</v>
      </c>
      <c r="O328" t="s">
        <v>2938</v>
      </c>
      <c r="P328" t="s">
        <v>1341</v>
      </c>
      <c r="Q328" s="23">
        <v>46281.006827303238</v>
      </c>
      <c r="R328" s="32">
        <f>IF(OR(tbl_de_massas[[#This Row],[dia_vencimento]]="", tbl_de_massas[[#This Row],[dia_vencimento]]="--"), "", WORKDAY(tbl_de_massas[[#This Row],[dia_vencimento]], 5))</f>
        <v>17</v>
      </c>
    </row>
    <row r="329" spans="1:18" x14ac:dyDescent="0.25">
      <c r="A329" t="s">
        <v>2939</v>
      </c>
      <c r="B329" t="s">
        <v>2940</v>
      </c>
      <c r="C329" s="32" t="s">
        <v>607</v>
      </c>
      <c r="D329" t="s">
        <v>1776</v>
      </c>
      <c r="E329" s="54">
        <v>11812.19</v>
      </c>
      <c r="F329" s="54">
        <v>4686.5200000000004</v>
      </c>
      <c r="G329" s="54">
        <v>10822.15</v>
      </c>
      <c r="H329" s="54">
        <v>3870.86</v>
      </c>
      <c r="I329" t="s">
        <v>2877</v>
      </c>
      <c r="J329" s="31">
        <v>4686.5200000000004</v>
      </c>
      <c r="K329" s="36" t="s">
        <v>2675</v>
      </c>
      <c r="L329" t="s">
        <v>2502</v>
      </c>
      <c r="M329" t="s">
        <v>2941</v>
      </c>
      <c r="N329" t="s">
        <v>1341</v>
      </c>
      <c r="O329" t="s">
        <v>2942</v>
      </c>
      <c r="P329" t="s">
        <v>1341</v>
      </c>
      <c r="Q329" s="23">
        <v>46281.006931504628</v>
      </c>
      <c r="R329" s="32">
        <f>IF(OR(tbl_de_massas[[#This Row],[dia_vencimento]]="", tbl_de_massas[[#This Row],[dia_vencimento]]="--"), "", WORKDAY(tbl_de_massas[[#This Row],[dia_vencimento]], 5))</f>
        <v>20</v>
      </c>
    </row>
    <row r="330" spans="1:18" x14ac:dyDescent="0.25">
      <c r="A330" t="s">
        <v>2943</v>
      </c>
      <c r="B330" t="s">
        <v>2944</v>
      </c>
      <c r="C330" s="32" t="s">
        <v>608</v>
      </c>
      <c r="D330" t="s">
        <v>1755</v>
      </c>
      <c r="E330" s="54">
        <v>8892.39</v>
      </c>
      <c r="F330" s="54">
        <v>4995.42</v>
      </c>
      <c r="G330" s="54">
        <v>-929.63</v>
      </c>
      <c r="H330" s="54">
        <v>3870.86</v>
      </c>
      <c r="I330" t="s">
        <v>2877</v>
      </c>
      <c r="J330" s="31">
        <v>4995.42</v>
      </c>
      <c r="K330" s="36" t="s">
        <v>2675</v>
      </c>
      <c r="L330" t="s">
        <v>2502</v>
      </c>
      <c r="M330" t="s">
        <v>67</v>
      </c>
      <c r="O330" t="s">
        <v>2945</v>
      </c>
      <c r="P330" t="s">
        <v>1341</v>
      </c>
      <c r="Q330" s="23">
        <v>46281.006980995371</v>
      </c>
      <c r="R330" s="32">
        <f>IF(OR(tbl_de_massas[[#This Row],[dia_vencimento]]="", tbl_de_massas[[#This Row],[dia_vencimento]]="--"), "", WORKDAY(tbl_de_massas[[#This Row],[dia_vencimento]], 5))</f>
        <v>27</v>
      </c>
    </row>
    <row r="331" spans="1:18" x14ac:dyDescent="0.25">
      <c r="A331" t="s">
        <v>2946</v>
      </c>
      <c r="B331" t="s">
        <v>2947</v>
      </c>
      <c r="C331" s="32" t="s">
        <v>608</v>
      </c>
      <c r="D331" t="s">
        <v>1809</v>
      </c>
      <c r="E331" s="54">
        <v>9170.8700000000008</v>
      </c>
      <c r="F331" s="54">
        <v>4833.1499999999996</v>
      </c>
      <c r="G331" s="54">
        <v>3246.72</v>
      </c>
      <c r="H331" s="54">
        <v>3870.86</v>
      </c>
      <c r="I331" t="s">
        <v>2877</v>
      </c>
      <c r="J331" s="31">
        <v>4833.1499999999996</v>
      </c>
      <c r="K331" s="36" t="s">
        <v>2675</v>
      </c>
      <c r="L331" t="s">
        <v>2502</v>
      </c>
      <c r="M331" t="s">
        <v>2948</v>
      </c>
      <c r="N331" t="s">
        <v>1341</v>
      </c>
      <c r="O331" t="s">
        <v>67</v>
      </c>
      <c r="Q331" s="23">
        <v>46281.007090844905</v>
      </c>
      <c r="R331" s="32">
        <f>IF(OR(tbl_de_massas[[#This Row],[dia_vencimento]]="", tbl_de_massas[[#This Row],[dia_vencimento]]="--"), "", WORKDAY(tbl_de_massas[[#This Row],[dia_vencimento]], 5))</f>
        <v>27</v>
      </c>
    </row>
    <row r="332" spans="1:18" x14ac:dyDescent="0.25">
      <c r="A332" t="s">
        <v>2949</v>
      </c>
      <c r="B332" t="s">
        <v>2950</v>
      </c>
      <c r="C332" s="32" t="s">
        <v>5827</v>
      </c>
      <c r="D332" t="s">
        <v>1758</v>
      </c>
      <c r="E332" s="54">
        <v>7818.42</v>
      </c>
      <c r="F332" s="54">
        <v>4874.2</v>
      </c>
      <c r="G332" s="54">
        <v>-2432.31</v>
      </c>
      <c r="H332" s="54">
        <v>3870.86</v>
      </c>
      <c r="I332" t="s">
        <v>2877</v>
      </c>
      <c r="J332" s="31">
        <v>4874.2</v>
      </c>
      <c r="K332" s="36" t="s">
        <v>2675</v>
      </c>
      <c r="L332" t="s">
        <v>2502</v>
      </c>
      <c r="M332" t="s">
        <v>2951</v>
      </c>
      <c r="N332" t="s">
        <v>1341</v>
      </c>
      <c r="O332" t="s">
        <v>67</v>
      </c>
      <c r="Q332" s="23">
        <v>46281.00716922454</v>
      </c>
      <c r="R332" s="32">
        <f>IF(OR(tbl_de_massas[[#This Row],[dia_vencimento]]="", tbl_de_massas[[#This Row],[dia_vencimento]]="--"), "", WORKDAY(tbl_de_massas[[#This Row],[dia_vencimento]], 5))</f>
        <v>12</v>
      </c>
    </row>
    <row r="333" spans="1:18" x14ac:dyDescent="0.25">
      <c r="A333" t="s">
        <v>2952</v>
      </c>
      <c r="B333" t="s">
        <v>2953</v>
      </c>
      <c r="C333" s="32" t="s">
        <v>605</v>
      </c>
      <c r="D333" t="s">
        <v>1645</v>
      </c>
      <c r="E333" s="54">
        <v>8867.5499999999993</v>
      </c>
      <c r="F333" s="54">
        <v>4679.03</v>
      </c>
      <c r="G333" s="54">
        <v>3775.14</v>
      </c>
      <c r="H333" s="54">
        <v>3870.86</v>
      </c>
      <c r="I333" t="s">
        <v>2877</v>
      </c>
      <c r="J333" s="31">
        <v>4679.03</v>
      </c>
      <c r="K333" s="36" t="s">
        <v>2675</v>
      </c>
      <c r="L333" t="s">
        <v>2502</v>
      </c>
      <c r="M333" t="s">
        <v>2954</v>
      </c>
      <c r="N333" t="s">
        <v>1345</v>
      </c>
      <c r="O333" t="s">
        <v>67</v>
      </c>
      <c r="Q333" s="23">
        <v>46281.007260729166</v>
      </c>
      <c r="R333" s="32">
        <f>IF(OR(tbl_de_massas[[#This Row],[dia_vencimento]]="", tbl_de_massas[[#This Row],[dia_vencimento]]="--"), "", WORKDAY(tbl_de_massas[[#This Row],[dia_vencimento]], 5))</f>
        <v>17</v>
      </c>
    </row>
    <row r="334" spans="1:18" x14ac:dyDescent="0.25">
      <c r="A334" t="s">
        <v>2955</v>
      </c>
      <c r="B334" t="s">
        <v>2956</v>
      </c>
      <c r="C334" s="32" t="s">
        <v>611</v>
      </c>
      <c r="D334" t="s">
        <v>1880</v>
      </c>
      <c r="E334" s="54">
        <v>11170.15</v>
      </c>
      <c r="F334" s="54">
        <v>4879.6400000000003</v>
      </c>
      <c r="G334" s="54">
        <v>16796.25</v>
      </c>
      <c r="H334" s="54">
        <v>3870.86</v>
      </c>
      <c r="I334" t="s">
        <v>2877</v>
      </c>
      <c r="J334" s="31">
        <v>4879.6400000000003</v>
      </c>
      <c r="K334" s="36" t="s">
        <v>2675</v>
      </c>
      <c r="L334" t="s">
        <v>2502</v>
      </c>
      <c r="M334" t="s">
        <v>2957</v>
      </c>
      <c r="N334" t="s">
        <v>1341</v>
      </c>
      <c r="O334" t="s">
        <v>2958</v>
      </c>
      <c r="P334" t="s">
        <v>1341</v>
      </c>
      <c r="Q334" s="23">
        <v>46281.007414201391</v>
      </c>
      <c r="R334" s="32">
        <f>IF(OR(tbl_de_massas[[#This Row],[dia_vencimento]]="", tbl_de_massas[[#This Row],[dia_vencimento]]="--"), "", WORKDAY(tbl_de_massas[[#This Row],[dia_vencimento]], 5))</f>
        <v>32</v>
      </c>
    </row>
    <row r="335" spans="1:18" x14ac:dyDescent="0.25">
      <c r="A335" t="s">
        <v>2959</v>
      </c>
      <c r="B335" t="s">
        <v>2960</v>
      </c>
      <c r="C335" s="32" t="s">
        <v>611</v>
      </c>
      <c r="D335" t="s">
        <v>2961</v>
      </c>
      <c r="E335" s="54">
        <v>4425.84</v>
      </c>
      <c r="F335" s="54">
        <v>4922.03</v>
      </c>
      <c r="G335" s="54">
        <v>8147.78</v>
      </c>
      <c r="H335" s="54">
        <v>3870.86</v>
      </c>
      <c r="I335" t="s">
        <v>2877</v>
      </c>
      <c r="J335" s="31">
        <v>4922.03</v>
      </c>
      <c r="K335" s="36" t="s">
        <v>2675</v>
      </c>
      <c r="L335" t="s">
        <v>2502</v>
      </c>
      <c r="M335" t="s">
        <v>2962</v>
      </c>
      <c r="N335" t="s">
        <v>1341</v>
      </c>
      <c r="O335" t="s">
        <v>2963</v>
      </c>
      <c r="P335" t="s">
        <v>1341</v>
      </c>
      <c r="Q335" s="23">
        <v>46281.010501608798</v>
      </c>
      <c r="R335" s="32">
        <f>IF(OR(tbl_de_massas[[#This Row],[dia_vencimento]]="", tbl_de_massas[[#This Row],[dia_vencimento]]="--"), "", WORKDAY(tbl_de_massas[[#This Row],[dia_vencimento]], 5))</f>
        <v>32</v>
      </c>
    </row>
    <row r="336" spans="1:18" x14ac:dyDescent="0.25">
      <c r="A336" t="s">
        <v>2964</v>
      </c>
      <c r="B336" t="s">
        <v>2965</v>
      </c>
      <c r="C336" s="32" t="s">
        <v>607</v>
      </c>
      <c r="D336" t="s">
        <v>2966</v>
      </c>
      <c r="E336" s="54">
        <v>2825.43</v>
      </c>
      <c r="F336" s="54">
        <v>567.53</v>
      </c>
      <c r="G336" s="54">
        <v>15780.12</v>
      </c>
      <c r="H336" s="54">
        <v>0</v>
      </c>
      <c r="I336" t="s">
        <v>2881</v>
      </c>
      <c r="J336" s="31">
        <v>567.53</v>
      </c>
      <c r="K336" s="36" t="s">
        <v>1306</v>
      </c>
      <c r="L336" t="s">
        <v>2504</v>
      </c>
      <c r="M336" t="s">
        <v>2967</v>
      </c>
      <c r="N336" t="s">
        <v>1341</v>
      </c>
      <c r="O336" t="s">
        <v>2968</v>
      </c>
      <c r="P336" t="s">
        <v>1341</v>
      </c>
      <c r="Q336" s="23">
        <v>46281.010513622685</v>
      </c>
      <c r="R336" s="32">
        <f>IF(OR(tbl_de_massas[[#This Row],[dia_vencimento]]="", tbl_de_massas[[#This Row],[dia_vencimento]]="--"), "", WORKDAY(tbl_de_massas[[#This Row],[dia_vencimento]], 5))</f>
        <v>20</v>
      </c>
    </row>
    <row r="337" spans="1:18" x14ac:dyDescent="0.25">
      <c r="A337" t="s">
        <v>2969</v>
      </c>
      <c r="B337" t="s">
        <v>2970</v>
      </c>
      <c r="C337" s="32" t="s">
        <v>608</v>
      </c>
      <c r="D337" t="s">
        <v>2971</v>
      </c>
      <c r="E337" s="54">
        <v>15214.04</v>
      </c>
      <c r="F337" s="54">
        <v>4685.34</v>
      </c>
      <c r="G337" s="54">
        <v>12293.66</v>
      </c>
      <c r="H337" s="54">
        <v>3870.86</v>
      </c>
      <c r="I337" t="s">
        <v>2877</v>
      </c>
      <c r="J337" s="31">
        <v>4685.34</v>
      </c>
      <c r="K337" s="36" t="s">
        <v>2675</v>
      </c>
      <c r="L337" t="s">
        <v>2502</v>
      </c>
      <c r="M337" t="s">
        <v>2972</v>
      </c>
      <c r="N337" t="s">
        <v>1341</v>
      </c>
      <c r="O337" t="s">
        <v>2973</v>
      </c>
      <c r="P337" t="s">
        <v>1341</v>
      </c>
      <c r="Q337" s="23">
        <v>46281.01051847222</v>
      </c>
      <c r="R337" s="32">
        <f>IF(OR(tbl_de_massas[[#This Row],[dia_vencimento]]="", tbl_de_massas[[#This Row],[dia_vencimento]]="--"), "", WORKDAY(tbl_de_massas[[#This Row],[dia_vencimento]], 5))</f>
        <v>27</v>
      </c>
    </row>
    <row r="338" spans="1:18" x14ac:dyDescent="0.25">
      <c r="A338" t="s">
        <v>2974</v>
      </c>
      <c r="B338" t="s">
        <v>2975</v>
      </c>
      <c r="C338" s="32" t="s">
        <v>608</v>
      </c>
      <c r="D338" t="s">
        <v>2976</v>
      </c>
      <c r="E338" s="54">
        <v>9729.5400000000009</v>
      </c>
      <c r="F338" s="54">
        <v>5099.13</v>
      </c>
      <c r="G338" s="54">
        <v>4098.82</v>
      </c>
      <c r="H338" s="54">
        <v>3870.86</v>
      </c>
      <c r="I338" t="s">
        <v>2877</v>
      </c>
      <c r="J338" s="31">
        <v>5099.13</v>
      </c>
      <c r="K338" s="36" t="s">
        <v>2675</v>
      </c>
      <c r="L338" t="s">
        <v>2502</v>
      </c>
      <c r="M338" t="s">
        <v>67</v>
      </c>
      <c r="O338" t="s">
        <v>2977</v>
      </c>
      <c r="P338" t="s">
        <v>1341</v>
      </c>
      <c r="Q338" s="23">
        <v>46281.010527754632</v>
      </c>
      <c r="R338" s="32">
        <f>IF(OR(tbl_de_massas[[#This Row],[dia_vencimento]]="", tbl_de_massas[[#This Row],[dia_vencimento]]="--"), "", WORKDAY(tbl_de_massas[[#This Row],[dia_vencimento]], 5))</f>
        <v>27</v>
      </c>
    </row>
    <row r="339" spans="1:18" x14ac:dyDescent="0.25">
      <c r="A339" t="s">
        <v>2978</v>
      </c>
      <c r="B339" t="s">
        <v>2979</v>
      </c>
      <c r="C339" s="32" t="s">
        <v>608</v>
      </c>
      <c r="D339" t="s">
        <v>2980</v>
      </c>
      <c r="E339" s="54">
        <v>11076.13</v>
      </c>
      <c r="F339" s="54">
        <v>0</v>
      </c>
      <c r="G339" s="54">
        <v>20252.78</v>
      </c>
      <c r="H339" s="54">
        <v>0</v>
      </c>
      <c r="I339" t="s">
        <v>2881</v>
      </c>
      <c r="J339" s="31">
        <v>513.92999999999995</v>
      </c>
      <c r="K339" s="36" t="s">
        <v>1306</v>
      </c>
      <c r="L339" t="s">
        <v>2504</v>
      </c>
      <c r="M339" t="s">
        <v>2981</v>
      </c>
      <c r="N339" t="s">
        <v>1341</v>
      </c>
      <c r="O339" t="s">
        <v>67</v>
      </c>
      <c r="Q339" s="23">
        <v>46281.010534976849</v>
      </c>
      <c r="R339" s="32">
        <f>IF(OR(tbl_de_massas[[#This Row],[dia_vencimento]]="", tbl_de_massas[[#This Row],[dia_vencimento]]="--"), "", WORKDAY(tbl_de_massas[[#This Row],[dia_vencimento]], 5))</f>
        <v>27</v>
      </c>
    </row>
    <row r="340" spans="1:18" x14ac:dyDescent="0.25">
      <c r="A340" t="s">
        <v>2982</v>
      </c>
      <c r="B340" t="s">
        <v>2983</v>
      </c>
      <c r="C340" s="32" t="s">
        <v>5827</v>
      </c>
      <c r="D340" t="s">
        <v>2984</v>
      </c>
      <c r="E340" s="54">
        <v>3613.91</v>
      </c>
      <c r="F340" s="54">
        <v>582.33000000000004</v>
      </c>
      <c r="G340" s="54">
        <v>9664.65</v>
      </c>
      <c r="H340" s="54">
        <v>0</v>
      </c>
      <c r="I340" t="s">
        <v>2881</v>
      </c>
      <c r="J340" s="31">
        <v>582.33000000000004</v>
      </c>
      <c r="K340" s="36" t="s">
        <v>1306</v>
      </c>
      <c r="L340" t="s">
        <v>2504</v>
      </c>
      <c r="M340" t="s">
        <v>2985</v>
      </c>
      <c r="N340" t="s">
        <v>1341</v>
      </c>
      <c r="O340" t="s">
        <v>2986</v>
      </c>
      <c r="P340" t="s">
        <v>1341</v>
      </c>
      <c r="Q340" s="23">
        <v>46281.01053900463</v>
      </c>
      <c r="R340" s="32">
        <f>IF(OR(tbl_de_massas[[#This Row],[dia_vencimento]]="", tbl_de_massas[[#This Row],[dia_vencimento]]="--"), "", WORKDAY(tbl_de_massas[[#This Row],[dia_vencimento]], 5))</f>
        <v>12</v>
      </c>
    </row>
    <row r="341" spans="1:18" x14ac:dyDescent="0.25">
      <c r="A341" t="s">
        <v>2987</v>
      </c>
      <c r="B341" t="s">
        <v>2988</v>
      </c>
      <c r="C341" s="32" t="s">
        <v>608</v>
      </c>
      <c r="D341" t="s">
        <v>2989</v>
      </c>
      <c r="E341" s="54">
        <v>13807.5</v>
      </c>
      <c r="F341" s="54">
        <v>5027.3500000000004</v>
      </c>
      <c r="G341" s="54">
        <v>5040.92</v>
      </c>
      <c r="H341" s="54">
        <v>3870.86</v>
      </c>
      <c r="I341" t="s">
        <v>2877</v>
      </c>
      <c r="J341" s="31">
        <v>5027.3500000000004</v>
      </c>
      <c r="K341" s="36" t="s">
        <v>2675</v>
      </c>
      <c r="L341" t="s">
        <v>2502</v>
      </c>
      <c r="M341" t="s">
        <v>67</v>
      </c>
      <c r="O341" t="s">
        <v>2990</v>
      </c>
      <c r="P341" t="s">
        <v>1345</v>
      </c>
      <c r="Q341" s="23">
        <v>46281.010542905089</v>
      </c>
      <c r="R341" s="32">
        <f>IF(OR(tbl_de_massas[[#This Row],[dia_vencimento]]="", tbl_de_massas[[#This Row],[dia_vencimento]]="--"), "", WORKDAY(tbl_de_massas[[#This Row],[dia_vencimento]], 5))</f>
        <v>27</v>
      </c>
    </row>
    <row r="342" spans="1:18" x14ac:dyDescent="0.25">
      <c r="A342" t="s">
        <v>2991</v>
      </c>
      <c r="B342" t="s">
        <v>2992</v>
      </c>
      <c r="C342" s="32" t="s">
        <v>607</v>
      </c>
      <c r="D342" t="s">
        <v>2993</v>
      </c>
      <c r="E342" s="54">
        <v>15278.8</v>
      </c>
      <c r="F342" s="54">
        <v>4750.26</v>
      </c>
      <c r="G342" s="54">
        <v>2783.2</v>
      </c>
      <c r="H342" s="54">
        <v>3870.86</v>
      </c>
      <c r="I342" t="s">
        <v>2877</v>
      </c>
      <c r="J342" s="31">
        <v>4750.26</v>
      </c>
      <c r="K342" s="36" t="s">
        <v>2675</v>
      </c>
      <c r="L342" t="s">
        <v>2502</v>
      </c>
      <c r="M342" t="s">
        <v>67</v>
      </c>
      <c r="O342" t="s">
        <v>2994</v>
      </c>
      <c r="P342" t="s">
        <v>1341</v>
      </c>
      <c r="Q342" s="23">
        <v>46281.01054984954</v>
      </c>
      <c r="R342" s="32">
        <f>IF(OR(tbl_de_massas[[#This Row],[dia_vencimento]]="", tbl_de_massas[[#This Row],[dia_vencimento]]="--"), "", WORKDAY(tbl_de_massas[[#This Row],[dia_vencimento]], 5))</f>
        <v>20</v>
      </c>
    </row>
    <row r="343" spans="1:18" x14ac:dyDescent="0.25">
      <c r="A343" t="s">
        <v>2995</v>
      </c>
      <c r="B343" t="s">
        <v>2996</v>
      </c>
      <c r="C343" s="32" t="s">
        <v>611</v>
      </c>
      <c r="D343" t="s">
        <v>2997</v>
      </c>
      <c r="E343" s="54">
        <v>10775.65</v>
      </c>
      <c r="F343" s="54">
        <v>4826.63</v>
      </c>
      <c r="G343" s="54">
        <v>3232.53</v>
      </c>
      <c r="H343" s="54">
        <v>3870.86</v>
      </c>
      <c r="I343" t="s">
        <v>2877</v>
      </c>
      <c r="J343" s="31">
        <v>4826.63</v>
      </c>
      <c r="K343" s="36" t="s">
        <v>2675</v>
      </c>
      <c r="L343" t="s">
        <v>2502</v>
      </c>
      <c r="M343" t="s">
        <v>67</v>
      </c>
      <c r="O343" t="s">
        <v>2998</v>
      </c>
      <c r="P343" t="s">
        <v>1345</v>
      </c>
      <c r="Q343" s="23">
        <v>46281.010559768518</v>
      </c>
      <c r="R343" s="32">
        <f>IF(OR(tbl_de_massas[[#This Row],[dia_vencimento]]="", tbl_de_massas[[#This Row],[dia_vencimento]]="--"), "", WORKDAY(tbl_de_massas[[#This Row],[dia_vencimento]], 5))</f>
        <v>32</v>
      </c>
    </row>
    <row r="344" spans="1:18" x14ac:dyDescent="0.25">
      <c r="A344" t="s">
        <v>2999</v>
      </c>
      <c r="B344" t="s">
        <v>3000</v>
      </c>
      <c r="C344" s="32" t="s">
        <v>611</v>
      </c>
      <c r="D344" t="s">
        <v>3001</v>
      </c>
      <c r="E344" s="54">
        <v>1684.22</v>
      </c>
      <c r="F344" s="54">
        <v>0</v>
      </c>
      <c r="G344" s="54">
        <v>12956.19</v>
      </c>
      <c r="H344" s="54">
        <v>0</v>
      </c>
      <c r="I344" t="s">
        <v>2881</v>
      </c>
      <c r="J344" s="31">
        <v>601.23</v>
      </c>
      <c r="K344" s="36" t="s">
        <v>1306</v>
      </c>
      <c r="L344" t="s">
        <v>2504</v>
      </c>
      <c r="M344" t="s">
        <v>67</v>
      </c>
      <c r="O344" t="s">
        <v>3002</v>
      </c>
      <c r="P344" t="s">
        <v>1345</v>
      </c>
      <c r="Q344" s="23">
        <v>46281.010564363423</v>
      </c>
      <c r="R344" s="32">
        <f>IF(OR(tbl_de_massas[[#This Row],[dia_vencimento]]="", tbl_de_massas[[#This Row],[dia_vencimento]]="--"), "", WORKDAY(tbl_de_massas[[#This Row],[dia_vencimento]], 5))</f>
        <v>32</v>
      </c>
    </row>
    <row r="345" spans="1:18" x14ac:dyDescent="0.25">
      <c r="A345" t="s">
        <v>3003</v>
      </c>
      <c r="B345" t="s">
        <v>3004</v>
      </c>
      <c r="C345" s="32" t="s">
        <v>605</v>
      </c>
      <c r="D345" t="s">
        <v>3005</v>
      </c>
      <c r="E345" s="54">
        <v>10219.98</v>
      </c>
      <c r="F345" s="54">
        <v>659.12</v>
      </c>
      <c r="G345" s="54">
        <v>8668.1200000000008</v>
      </c>
      <c r="H345" s="54">
        <v>0</v>
      </c>
      <c r="I345" t="s">
        <v>2881</v>
      </c>
      <c r="J345" s="31">
        <v>659.12</v>
      </c>
      <c r="K345" s="36" t="s">
        <v>1306</v>
      </c>
      <c r="L345" t="s">
        <v>2504</v>
      </c>
      <c r="M345" t="s">
        <v>67</v>
      </c>
      <c r="O345" t="s">
        <v>3006</v>
      </c>
      <c r="P345" t="s">
        <v>1345</v>
      </c>
      <c r="Q345" s="23">
        <v>46281.010622083333</v>
      </c>
      <c r="R345" s="32">
        <f>IF(OR(tbl_de_massas[[#This Row],[dia_vencimento]]="", tbl_de_massas[[#This Row],[dia_vencimento]]="--"), "", WORKDAY(tbl_de_massas[[#This Row],[dia_vencimento]], 5))</f>
        <v>17</v>
      </c>
    </row>
    <row r="346" spans="1:18" x14ac:dyDescent="0.25">
      <c r="A346" t="s">
        <v>3007</v>
      </c>
      <c r="B346" t="s">
        <v>3008</v>
      </c>
      <c r="C346" s="32" t="s">
        <v>605</v>
      </c>
      <c r="D346" t="s">
        <v>3009</v>
      </c>
      <c r="E346" s="54">
        <v>8958.4</v>
      </c>
      <c r="F346" s="54">
        <v>466.92</v>
      </c>
      <c r="G346" s="54">
        <v>14487.12</v>
      </c>
      <c r="H346" s="54">
        <v>0</v>
      </c>
      <c r="I346" t="s">
        <v>2881</v>
      </c>
      <c r="J346" s="31">
        <v>466.92</v>
      </c>
      <c r="K346" s="36" t="s">
        <v>1306</v>
      </c>
      <c r="L346" t="s">
        <v>2504</v>
      </c>
      <c r="M346" t="s">
        <v>67</v>
      </c>
      <c r="O346" t="s">
        <v>3010</v>
      </c>
      <c r="P346" t="s">
        <v>1341</v>
      </c>
      <c r="Q346" s="23">
        <v>46281.010625694442</v>
      </c>
      <c r="R346" s="32">
        <f>IF(OR(tbl_de_massas[[#This Row],[dia_vencimento]]="", tbl_de_massas[[#This Row],[dia_vencimento]]="--"), "", WORKDAY(tbl_de_massas[[#This Row],[dia_vencimento]], 5))</f>
        <v>17</v>
      </c>
    </row>
    <row r="347" spans="1:18" x14ac:dyDescent="0.25">
      <c r="A347" t="s">
        <v>3011</v>
      </c>
      <c r="B347" t="s">
        <v>3012</v>
      </c>
      <c r="C347" s="32" t="s">
        <v>605</v>
      </c>
      <c r="D347" t="s">
        <v>3013</v>
      </c>
      <c r="E347" s="54">
        <v>5431.57</v>
      </c>
      <c r="F347" s="54">
        <v>657.13</v>
      </c>
      <c r="G347" s="54">
        <v>11428.06</v>
      </c>
      <c r="H347" s="54">
        <v>0</v>
      </c>
      <c r="I347" t="s">
        <v>2881</v>
      </c>
      <c r="J347" s="31">
        <v>657.13</v>
      </c>
      <c r="K347" s="36" t="s">
        <v>1306</v>
      </c>
      <c r="L347" t="s">
        <v>2504</v>
      </c>
      <c r="M347" t="s">
        <v>3014</v>
      </c>
      <c r="N347" t="s">
        <v>1341</v>
      </c>
      <c r="O347" t="s">
        <v>67</v>
      </c>
      <c r="Q347" s="23">
        <v>46281.010629201388</v>
      </c>
      <c r="R347" s="32">
        <f>IF(OR(tbl_de_massas[[#This Row],[dia_vencimento]]="", tbl_de_massas[[#This Row],[dia_vencimento]]="--"), "", WORKDAY(tbl_de_massas[[#This Row],[dia_vencimento]], 5))</f>
        <v>17</v>
      </c>
    </row>
    <row r="348" spans="1:18" x14ac:dyDescent="0.25">
      <c r="A348" t="s">
        <v>3015</v>
      </c>
      <c r="B348" t="s">
        <v>3016</v>
      </c>
      <c r="C348" s="32" t="s">
        <v>5827</v>
      </c>
      <c r="D348" t="s">
        <v>3017</v>
      </c>
      <c r="E348" s="54">
        <v>12157.24</v>
      </c>
      <c r="F348" s="54">
        <v>4726.1400000000003</v>
      </c>
      <c r="G348" s="54">
        <v>9680.08</v>
      </c>
      <c r="H348" s="54">
        <v>3870.86</v>
      </c>
      <c r="I348" t="s">
        <v>2877</v>
      </c>
      <c r="J348" s="31">
        <v>4726.1400000000003</v>
      </c>
      <c r="K348" s="36" t="s">
        <v>2675</v>
      </c>
      <c r="L348" t="s">
        <v>2502</v>
      </c>
      <c r="M348" t="s">
        <v>3018</v>
      </c>
      <c r="N348" t="s">
        <v>1341</v>
      </c>
      <c r="O348" t="s">
        <v>67</v>
      </c>
      <c r="Q348" s="23">
        <v>46281.010632534722</v>
      </c>
      <c r="R348" s="32">
        <f>IF(OR(tbl_de_massas[[#This Row],[dia_vencimento]]="", tbl_de_massas[[#This Row],[dia_vencimento]]="--"), "", WORKDAY(tbl_de_massas[[#This Row],[dia_vencimento]], 5))</f>
        <v>12</v>
      </c>
    </row>
    <row r="349" spans="1:18" x14ac:dyDescent="0.25">
      <c r="A349" t="s">
        <v>3019</v>
      </c>
      <c r="B349" t="s">
        <v>3020</v>
      </c>
      <c r="C349" s="32" t="s">
        <v>605</v>
      </c>
      <c r="D349" t="s">
        <v>3021</v>
      </c>
      <c r="E349" s="54">
        <v>6055.63</v>
      </c>
      <c r="F349" s="54">
        <v>937.46</v>
      </c>
      <c r="G349" s="54">
        <v>12620.23</v>
      </c>
      <c r="H349" s="54">
        <v>0</v>
      </c>
      <c r="I349" t="s">
        <v>2881</v>
      </c>
      <c r="J349" s="31">
        <v>937.46</v>
      </c>
      <c r="K349" s="36" t="s">
        <v>1306</v>
      </c>
      <c r="L349" t="s">
        <v>2504</v>
      </c>
      <c r="M349" t="s">
        <v>3022</v>
      </c>
      <c r="N349" t="s">
        <v>1345</v>
      </c>
      <c r="O349" t="s">
        <v>3023</v>
      </c>
      <c r="P349" t="s">
        <v>1345</v>
      </c>
      <c r="Q349" s="23">
        <v>46281.010636388892</v>
      </c>
      <c r="R349" s="32">
        <f>IF(OR(tbl_de_massas[[#This Row],[dia_vencimento]]="", tbl_de_massas[[#This Row],[dia_vencimento]]="--"), "", WORKDAY(tbl_de_massas[[#This Row],[dia_vencimento]], 5))</f>
        <v>17</v>
      </c>
    </row>
    <row r="350" spans="1:18" x14ac:dyDescent="0.25">
      <c r="A350" t="s">
        <v>3024</v>
      </c>
      <c r="B350" t="s">
        <v>3025</v>
      </c>
      <c r="C350" s="32" t="s">
        <v>5827</v>
      </c>
      <c r="D350" t="s">
        <v>3026</v>
      </c>
      <c r="E350" s="54">
        <v>1970.15</v>
      </c>
      <c r="F350" s="54">
        <v>4706.28</v>
      </c>
      <c r="G350" s="54">
        <v>3813.41</v>
      </c>
      <c r="H350" s="54">
        <v>3870.86</v>
      </c>
      <c r="I350" t="s">
        <v>2877</v>
      </c>
      <c r="J350" s="31">
        <v>4706.28</v>
      </c>
      <c r="K350" s="36" t="s">
        <v>2675</v>
      </c>
      <c r="L350" t="s">
        <v>2502</v>
      </c>
      <c r="M350" t="s">
        <v>3027</v>
      </c>
      <c r="N350" t="s">
        <v>1341</v>
      </c>
      <c r="O350" t="s">
        <v>3028</v>
      </c>
      <c r="P350" t="s">
        <v>1341</v>
      </c>
      <c r="Q350" s="23">
        <v>46281.010639525462</v>
      </c>
      <c r="R350" s="32">
        <f>IF(OR(tbl_de_massas[[#This Row],[dia_vencimento]]="", tbl_de_massas[[#This Row],[dia_vencimento]]="--"), "", WORKDAY(tbl_de_massas[[#This Row],[dia_vencimento]], 5))</f>
        <v>12</v>
      </c>
    </row>
    <row r="351" spans="1:18" x14ac:dyDescent="0.25">
      <c r="A351" t="s">
        <v>3029</v>
      </c>
      <c r="B351" t="s">
        <v>3030</v>
      </c>
      <c r="C351" s="32" t="s">
        <v>607</v>
      </c>
      <c r="D351" t="s">
        <v>3031</v>
      </c>
      <c r="E351" s="54">
        <v>1050.55</v>
      </c>
      <c r="F351" s="54">
        <v>783.17</v>
      </c>
      <c r="G351" s="54">
        <v>1661</v>
      </c>
      <c r="H351" s="54">
        <v>0</v>
      </c>
      <c r="I351" t="s">
        <v>2881</v>
      </c>
      <c r="J351" s="31">
        <v>783.17</v>
      </c>
      <c r="K351" s="36" t="s">
        <v>1306</v>
      </c>
      <c r="L351" t="s">
        <v>2504</v>
      </c>
      <c r="M351" t="s">
        <v>67</v>
      </c>
      <c r="O351" t="s">
        <v>3032</v>
      </c>
      <c r="P351" t="s">
        <v>1345</v>
      </c>
      <c r="Q351" s="23">
        <v>46281.010643159723</v>
      </c>
      <c r="R351" s="32">
        <f>IF(OR(tbl_de_massas[[#This Row],[dia_vencimento]]="", tbl_de_massas[[#This Row],[dia_vencimento]]="--"), "", WORKDAY(tbl_de_massas[[#This Row],[dia_vencimento]], 5))</f>
        <v>20</v>
      </c>
    </row>
    <row r="352" spans="1:18" x14ac:dyDescent="0.25">
      <c r="A352" t="s">
        <v>3033</v>
      </c>
      <c r="B352" t="s">
        <v>3034</v>
      </c>
      <c r="C352" s="32" t="s">
        <v>611</v>
      </c>
      <c r="D352" t="s">
        <v>3035</v>
      </c>
      <c r="E352" s="54">
        <v>8647.08</v>
      </c>
      <c r="F352" s="54">
        <v>0</v>
      </c>
      <c r="G352" s="54">
        <v>13645.01</v>
      </c>
      <c r="H352" s="54">
        <v>0</v>
      </c>
      <c r="I352" t="s">
        <v>2881</v>
      </c>
      <c r="J352" s="31">
        <v>442.3</v>
      </c>
      <c r="K352" s="36" t="s">
        <v>1306</v>
      </c>
      <c r="L352" t="s">
        <v>2504</v>
      </c>
      <c r="M352" t="s">
        <v>3036</v>
      </c>
      <c r="N352" t="s">
        <v>1345</v>
      </c>
      <c r="O352" t="s">
        <v>3037</v>
      </c>
      <c r="P352" t="s">
        <v>1345</v>
      </c>
      <c r="Q352" s="23">
        <v>46281.010645775466</v>
      </c>
      <c r="R352" s="32">
        <f>IF(OR(tbl_de_massas[[#This Row],[dia_vencimento]]="", tbl_de_massas[[#This Row],[dia_vencimento]]="--"), "", WORKDAY(tbl_de_massas[[#This Row],[dia_vencimento]], 5))</f>
        <v>32</v>
      </c>
    </row>
    <row r="353" spans="1:18" x14ac:dyDescent="0.25">
      <c r="A353" t="s">
        <v>3038</v>
      </c>
      <c r="B353" t="s">
        <v>3039</v>
      </c>
      <c r="C353" s="32" t="s">
        <v>5827</v>
      </c>
      <c r="D353" t="s">
        <v>3040</v>
      </c>
      <c r="E353" s="54">
        <v>10789.37</v>
      </c>
      <c r="F353" s="54">
        <v>549.71</v>
      </c>
      <c r="G353" s="54">
        <v>6504.73</v>
      </c>
      <c r="H353" s="54">
        <v>0</v>
      </c>
      <c r="I353" t="s">
        <v>2881</v>
      </c>
      <c r="J353" s="31">
        <v>549.71</v>
      </c>
      <c r="K353" s="36" t="s">
        <v>1306</v>
      </c>
      <c r="L353" t="s">
        <v>2504</v>
      </c>
      <c r="M353" t="s">
        <v>3041</v>
      </c>
      <c r="N353" t="s">
        <v>1341</v>
      </c>
      <c r="O353" t="s">
        <v>67</v>
      </c>
      <c r="Q353" s="23">
        <v>46281.010648842595</v>
      </c>
      <c r="R353" s="32">
        <f>IF(OR(tbl_de_massas[[#This Row],[dia_vencimento]]="", tbl_de_massas[[#This Row],[dia_vencimento]]="--"), "", WORKDAY(tbl_de_massas[[#This Row],[dia_vencimento]], 5))</f>
        <v>12</v>
      </c>
    </row>
    <row r="354" spans="1:18" x14ac:dyDescent="0.25">
      <c r="A354" t="s">
        <v>3042</v>
      </c>
      <c r="B354" t="s">
        <v>3043</v>
      </c>
      <c r="C354" s="32" t="s">
        <v>611</v>
      </c>
      <c r="D354" t="s">
        <v>3044</v>
      </c>
      <c r="E354" s="54">
        <v>3376.9</v>
      </c>
      <c r="F354" s="54">
        <v>0</v>
      </c>
      <c r="G354" s="54">
        <v>21507.96</v>
      </c>
      <c r="H354" s="54">
        <v>0</v>
      </c>
      <c r="I354" t="s">
        <v>2881</v>
      </c>
      <c r="J354" s="31">
        <v>785.83</v>
      </c>
      <c r="K354" s="36" t="s">
        <v>1306</v>
      </c>
      <c r="L354" t="s">
        <v>2504</v>
      </c>
      <c r="M354" t="s">
        <v>3045</v>
      </c>
      <c r="N354" t="s">
        <v>1341</v>
      </c>
      <c r="O354" t="s">
        <v>3046</v>
      </c>
      <c r="P354" t="s">
        <v>1341</v>
      </c>
      <c r="Q354" s="23">
        <v>46281.010651817131</v>
      </c>
      <c r="R354" s="32">
        <f>IF(OR(tbl_de_massas[[#This Row],[dia_vencimento]]="", tbl_de_massas[[#This Row],[dia_vencimento]]="--"), "", WORKDAY(tbl_de_massas[[#This Row],[dia_vencimento]], 5))</f>
        <v>32</v>
      </c>
    </row>
    <row r="355" spans="1:18" x14ac:dyDescent="0.25">
      <c r="A355" t="s">
        <v>3047</v>
      </c>
      <c r="B355" t="s">
        <v>3048</v>
      </c>
      <c r="C355" s="32" t="s">
        <v>608</v>
      </c>
      <c r="D355" t="s">
        <v>3049</v>
      </c>
      <c r="E355" s="54">
        <v>3822.35</v>
      </c>
      <c r="F355" s="54">
        <v>4860.41</v>
      </c>
      <c r="G355" s="54">
        <v>16770.91</v>
      </c>
      <c r="H355" s="54">
        <v>3870.86</v>
      </c>
      <c r="I355" t="s">
        <v>2877</v>
      </c>
      <c r="J355" s="31">
        <v>4860.41</v>
      </c>
      <c r="K355" s="36" t="s">
        <v>2675</v>
      </c>
      <c r="L355" t="s">
        <v>2502</v>
      </c>
      <c r="M355" t="s">
        <v>3050</v>
      </c>
      <c r="N355" t="s">
        <v>1341</v>
      </c>
      <c r="O355" t="s">
        <v>67</v>
      </c>
      <c r="Q355" s="23">
        <v>46281.463046712961</v>
      </c>
      <c r="R355" s="32">
        <f>IF(OR(tbl_de_massas[[#This Row],[dia_vencimento]]="", tbl_de_massas[[#This Row],[dia_vencimento]]="--"), "", WORKDAY(tbl_de_massas[[#This Row],[dia_vencimento]], 5))</f>
        <v>27</v>
      </c>
    </row>
    <row r="356" spans="1:18" x14ac:dyDescent="0.25">
      <c r="A356" t="s">
        <v>3051</v>
      </c>
      <c r="B356" t="s">
        <v>3052</v>
      </c>
      <c r="C356" s="32" t="s">
        <v>608</v>
      </c>
      <c r="D356" t="s">
        <v>3053</v>
      </c>
      <c r="E356" s="54">
        <v>3728.18</v>
      </c>
      <c r="F356" s="54">
        <v>0</v>
      </c>
      <c r="G356" s="54">
        <v>13112.67</v>
      </c>
      <c r="H356" s="54">
        <v>0</v>
      </c>
      <c r="I356" t="s">
        <v>2881</v>
      </c>
      <c r="J356" s="31">
        <v>824.88</v>
      </c>
      <c r="K356" s="36" t="s">
        <v>1306</v>
      </c>
      <c r="L356" t="s">
        <v>2504</v>
      </c>
      <c r="M356" t="s">
        <v>3054</v>
      </c>
      <c r="N356" t="s">
        <v>1341</v>
      </c>
      <c r="O356" t="s">
        <v>3055</v>
      </c>
      <c r="P356" t="s">
        <v>1341</v>
      </c>
      <c r="Q356" s="23">
        <v>46281.46317949074</v>
      </c>
      <c r="R356" s="32">
        <f>IF(OR(tbl_de_massas[[#This Row],[dia_vencimento]]="", tbl_de_massas[[#This Row],[dia_vencimento]]="--"), "", WORKDAY(tbl_de_massas[[#This Row],[dia_vencimento]], 5))</f>
        <v>27</v>
      </c>
    </row>
    <row r="357" spans="1:18" x14ac:dyDescent="0.25">
      <c r="A357" t="s">
        <v>3056</v>
      </c>
      <c r="B357" t="s">
        <v>3057</v>
      </c>
      <c r="C357" s="32" t="s">
        <v>611</v>
      </c>
      <c r="D357" t="s">
        <v>3058</v>
      </c>
      <c r="E357" s="54">
        <v>8020.76</v>
      </c>
      <c r="F357" s="54">
        <v>4637.87</v>
      </c>
      <c r="G357" s="54">
        <v>13808.6</v>
      </c>
      <c r="H357" s="54">
        <v>3870.86</v>
      </c>
      <c r="I357" t="s">
        <v>2877</v>
      </c>
      <c r="J357" s="31">
        <v>4637.87</v>
      </c>
      <c r="K357" s="36" t="s">
        <v>2675</v>
      </c>
      <c r="L357" t="s">
        <v>2502</v>
      </c>
      <c r="M357" t="s">
        <v>3059</v>
      </c>
      <c r="N357" t="s">
        <v>1345</v>
      </c>
      <c r="O357" t="s">
        <v>67</v>
      </c>
      <c r="Q357" s="23">
        <v>46281.463181817133</v>
      </c>
      <c r="R357" s="32">
        <f>IF(OR(tbl_de_massas[[#This Row],[dia_vencimento]]="", tbl_de_massas[[#This Row],[dia_vencimento]]="--"), "", WORKDAY(tbl_de_massas[[#This Row],[dia_vencimento]], 5))</f>
        <v>32</v>
      </c>
    </row>
    <row r="358" spans="1:18" x14ac:dyDescent="0.25">
      <c r="A358" t="s">
        <v>3060</v>
      </c>
      <c r="B358" t="s">
        <v>3061</v>
      </c>
      <c r="C358" s="32" t="s">
        <v>607</v>
      </c>
      <c r="D358" t="s">
        <v>3062</v>
      </c>
      <c r="E358" s="54">
        <v>10538.56</v>
      </c>
      <c r="F358" s="54">
        <v>4812.97</v>
      </c>
      <c r="G358" s="54">
        <v>15358.76</v>
      </c>
      <c r="H358" s="54">
        <v>3870.86</v>
      </c>
      <c r="I358" t="s">
        <v>2877</v>
      </c>
      <c r="J358" s="31">
        <v>4812.97</v>
      </c>
      <c r="K358" s="36" t="s">
        <v>2675</v>
      </c>
      <c r="L358" t="s">
        <v>2502</v>
      </c>
      <c r="M358" t="s">
        <v>3063</v>
      </c>
      <c r="N358" t="s">
        <v>1345</v>
      </c>
      <c r="O358" t="s">
        <v>67</v>
      </c>
      <c r="Q358" s="23">
        <v>46281.463184039349</v>
      </c>
      <c r="R358" s="32">
        <f>IF(OR(tbl_de_massas[[#This Row],[dia_vencimento]]="", tbl_de_massas[[#This Row],[dia_vencimento]]="--"), "", WORKDAY(tbl_de_massas[[#This Row],[dia_vencimento]], 5))</f>
        <v>20</v>
      </c>
    </row>
    <row r="359" spans="1:18" x14ac:dyDescent="0.25">
      <c r="A359" t="s">
        <v>3064</v>
      </c>
      <c r="B359" t="s">
        <v>3065</v>
      </c>
      <c r="C359" s="32" t="s">
        <v>607</v>
      </c>
      <c r="D359" t="s">
        <v>3066</v>
      </c>
      <c r="E359" s="54">
        <v>8843.7000000000007</v>
      </c>
      <c r="F359" s="54">
        <v>4964.67</v>
      </c>
      <c r="G359" s="54">
        <v>12176.36</v>
      </c>
      <c r="H359" s="54">
        <v>3870.86</v>
      </c>
      <c r="I359" t="s">
        <v>2877</v>
      </c>
      <c r="J359" s="31">
        <v>4964.67</v>
      </c>
      <c r="K359" s="36" t="s">
        <v>2675</v>
      </c>
      <c r="L359" t="s">
        <v>2502</v>
      </c>
      <c r="M359" t="s">
        <v>3067</v>
      </c>
      <c r="N359" t="s">
        <v>1341</v>
      </c>
      <c r="O359" t="s">
        <v>3068</v>
      </c>
      <c r="P359" t="s">
        <v>1341</v>
      </c>
      <c r="Q359" s="23">
        <v>46281.463186284724</v>
      </c>
      <c r="R359" s="32">
        <f>IF(OR(tbl_de_massas[[#This Row],[dia_vencimento]]="", tbl_de_massas[[#This Row],[dia_vencimento]]="--"), "", WORKDAY(tbl_de_massas[[#This Row],[dia_vencimento]], 5))</f>
        <v>20</v>
      </c>
    </row>
    <row r="360" spans="1:18" x14ac:dyDescent="0.25">
      <c r="A360" t="s">
        <v>3069</v>
      </c>
      <c r="B360" t="s">
        <v>3070</v>
      </c>
      <c r="C360" s="32" t="s">
        <v>608</v>
      </c>
      <c r="D360" t="s">
        <v>3071</v>
      </c>
      <c r="E360" s="54">
        <v>10216.370000000001</v>
      </c>
      <c r="F360" s="54">
        <v>4792.1499999999996</v>
      </c>
      <c r="G360" s="54">
        <v>1040.8</v>
      </c>
      <c r="H360" s="54">
        <v>3870.86</v>
      </c>
      <c r="I360" t="s">
        <v>2877</v>
      </c>
      <c r="J360" s="31">
        <v>4792.1499999999996</v>
      </c>
      <c r="K360" s="36" t="s">
        <v>2675</v>
      </c>
      <c r="L360" t="s">
        <v>2502</v>
      </c>
      <c r="M360" t="s">
        <v>3072</v>
      </c>
      <c r="N360" t="s">
        <v>1341</v>
      </c>
      <c r="O360" t="s">
        <v>3073</v>
      </c>
      <c r="P360" t="s">
        <v>1341</v>
      </c>
      <c r="Q360" s="23">
        <v>46281.463189062502</v>
      </c>
      <c r="R360" s="32">
        <f>IF(OR(tbl_de_massas[[#This Row],[dia_vencimento]]="", tbl_de_massas[[#This Row],[dia_vencimento]]="--"), "", WORKDAY(tbl_de_massas[[#This Row],[dia_vencimento]], 5))</f>
        <v>27</v>
      </c>
    </row>
    <row r="361" spans="1:18" x14ac:dyDescent="0.25">
      <c r="A361" t="s">
        <v>3074</v>
      </c>
      <c r="B361" t="s">
        <v>3075</v>
      </c>
      <c r="C361" s="32" t="s">
        <v>607</v>
      </c>
      <c r="D361" t="s">
        <v>3076</v>
      </c>
      <c r="E361" s="54">
        <v>15202.25</v>
      </c>
      <c r="F361" s="54">
        <v>4671.26</v>
      </c>
      <c r="G361" s="54">
        <v>8417.61</v>
      </c>
      <c r="H361" s="54">
        <v>3870.86</v>
      </c>
      <c r="I361" t="s">
        <v>2877</v>
      </c>
      <c r="J361" s="31">
        <v>4671.26</v>
      </c>
      <c r="K361" s="36" t="s">
        <v>2675</v>
      </c>
      <c r="L361" t="s">
        <v>2502</v>
      </c>
      <c r="M361" t="s">
        <v>3077</v>
      </c>
      <c r="N361" t="s">
        <v>1341</v>
      </c>
      <c r="O361" t="s">
        <v>3078</v>
      </c>
      <c r="P361" t="s">
        <v>1341</v>
      </c>
      <c r="Q361" s="23">
        <v>46281.463191446761</v>
      </c>
      <c r="R361" s="32">
        <f>IF(OR(tbl_de_massas[[#This Row],[dia_vencimento]]="", tbl_de_massas[[#This Row],[dia_vencimento]]="--"), "", WORKDAY(tbl_de_massas[[#This Row],[dia_vencimento]], 5))</f>
        <v>20</v>
      </c>
    </row>
    <row r="362" spans="1:18" x14ac:dyDescent="0.25">
      <c r="A362" t="s">
        <v>3079</v>
      </c>
      <c r="B362" t="s">
        <v>3080</v>
      </c>
      <c r="C362" s="32" t="s">
        <v>607</v>
      </c>
      <c r="D362" t="s">
        <v>3081</v>
      </c>
      <c r="E362" s="54">
        <v>11350.46</v>
      </c>
      <c r="F362" s="54">
        <v>5054.01</v>
      </c>
      <c r="G362" s="54">
        <v>-1021.41</v>
      </c>
      <c r="H362" s="54">
        <v>3870.86</v>
      </c>
      <c r="I362" t="s">
        <v>2877</v>
      </c>
      <c r="J362" s="31">
        <v>5054.01</v>
      </c>
      <c r="K362" s="36" t="s">
        <v>2675</v>
      </c>
      <c r="L362" t="s">
        <v>2502</v>
      </c>
      <c r="M362" t="s">
        <v>3082</v>
      </c>
      <c r="N362" t="s">
        <v>1341</v>
      </c>
      <c r="O362" t="s">
        <v>67</v>
      </c>
      <c r="Q362" s="23">
        <v>46281.463193784723</v>
      </c>
      <c r="R362" s="32">
        <f>IF(OR(tbl_de_massas[[#This Row],[dia_vencimento]]="", tbl_de_massas[[#This Row],[dia_vencimento]]="--"), "", WORKDAY(tbl_de_massas[[#This Row],[dia_vencimento]], 5))</f>
        <v>20</v>
      </c>
    </row>
    <row r="363" spans="1:18" x14ac:dyDescent="0.25">
      <c r="A363" t="s">
        <v>3083</v>
      </c>
      <c r="B363" t="s">
        <v>3084</v>
      </c>
      <c r="C363" s="32" t="s">
        <v>5827</v>
      </c>
      <c r="D363" t="s">
        <v>3085</v>
      </c>
      <c r="E363" s="54">
        <v>8939.98</v>
      </c>
      <c r="F363" s="54">
        <v>4765.13</v>
      </c>
      <c r="G363" s="54">
        <v>14399.47</v>
      </c>
      <c r="H363" s="54">
        <v>3870.86</v>
      </c>
      <c r="I363" t="s">
        <v>2877</v>
      </c>
      <c r="J363" s="31">
        <v>4765.13</v>
      </c>
      <c r="K363" s="36" t="s">
        <v>2675</v>
      </c>
      <c r="L363" t="s">
        <v>2502</v>
      </c>
      <c r="M363" t="s">
        <v>67</v>
      </c>
      <c r="O363" t="s">
        <v>3086</v>
      </c>
      <c r="P363" t="s">
        <v>1341</v>
      </c>
      <c r="Q363" s="23">
        <v>46281.463195902776</v>
      </c>
      <c r="R363" s="32">
        <f>IF(OR(tbl_de_massas[[#This Row],[dia_vencimento]]="", tbl_de_massas[[#This Row],[dia_vencimento]]="--"), "", WORKDAY(tbl_de_massas[[#This Row],[dia_vencimento]], 5))</f>
        <v>12</v>
      </c>
    </row>
    <row r="364" spans="1:18" x14ac:dyDescent="0.25">
      <c r="A364" t="s">
        <v>3087</v>
      </c>
      <c r="B364" t="s">
        <v>3088</v>
      </c>
      <c r="C364" s="32" t="s">
        <v>5827</v>
      </c>
      <c r="D364" t="s">
        <v>3089</v>
      </c>
      <c r="E364" s="54">
        <v>1168.42</v>
      </c>
      <c r="F364" s="54">
        <v>946.73</v>
      </c>
      <c r="G364" s="54">
        <v>12245.57</v>
      </c>
      <c r="H364" s="54">
        <v>0</v>
      </c>
      <c r="I364" t="s">
        <v>2881</v>
      </c>
      <c r="J364" s="31">
        <v>946.73</v>
      </c>
      <c r="K364" s="36" t="s">
        <v>1306</v>
      </c>
      <c r="L364" t="s">
        <v>2504</v>
      </c>
      <c r="M364" t="s">
        <v>3090</v>
      </c>
      <c r="N364" t="s">
        <v>1341</v>
      </c>
      <c r="O364" t="s">
        <v>3091</v>
      </c>
      <c r="P364" t="s">
        <v>1341</v>
      </c>
      <c r="Q364" s="23">
        <v>46281.463197974539</v>
      </c>
      <c r="R364" s="32">
        <f>IF(OR(tbl_de_massas[[#This Row],[dia_vencimento]]="", tbl_de_massas[[#This Row],[dia_vencimento]]="--"), "", WORKDAY(tbl_de_massas[[#This Row],[dia_vencimento]], 5))</f>
        <v>12</v>
      </c>
    </row>
    <row r="365" spans="1:18" x14ac:dyDescent="0.25">
      <c r="A365" t="s">
        <v>3092</v>
      </c>
      <c r="B365" t="s">
        <v>3093</v>
      </c>
      <c r="C365" s="32" t="s">
        <v>611</v>
      </c>
      <c r="D365" t="s">
        <v>3094</v>
      </c>
      <c r="E365" s="54">
        <v>8875.25</v>
      </c>
      <c r="F365" s="54">
        <v>4727.04</v>
      </c>
      <c r="G365" s="54">
        <v>7799.18</v>
      </c>
      <c r="H365" s="54">
        <v>3870.86</v>
      </c>
      <c r="I365" t="s">
        <v>2877</v>
      </c>
      <c r="J365" s="31">
        <v>4727.04</v>
      </c>
      <c r="K365" s="36" t="s">
        <v>2675</v>
      </c>
      <c r="L365" t="s">
        <v>2502</v>
      </c>
      <c r="M365" t="s">
        <v>67</v>
      </c>
      <c r="O365" t="s">
        <v>3095</v>
      </c>
      <c r="P365" t="s">
        <v>1341</v>
      </c>
      <c r="Q365" s="23">
        <v>46281.463199664351</v>
      </c>
      <c r="R365" s="32">
        <f>IF(OR(tbl_de_massas[[#This Row],[dia_vencimento]]="", tbl_de_massas[[#This Row],[dia_vencimento]]="--"), "", WORKDAY(tbl_de_massas[[#This Row],[dia_vencimento]], 5))</f>
        <v>32</v>
      </c>
    </row>
    <row r="366" spans="1:18" x14ac:dyDescent="0.25">
      <c r="A366" t="s">
        <v>3096</v>
      </c>
      <c r="B366" t="s">
        <v>3097</v>
      </c>
      <c r="C366" s="32" t="s">
        <v>605</v>
      </c>
      <c r="D366" t="s">
        <v>3098</v>
      </c>
      <c r="E366" s="54">
        <v>4618.7299999999996</v>
      </c>
      <c r="F366" s="54">
        <v>522.04</v>
      </c>
      <c r="G366" s="54">
        <v>21129.98</v>
      </c>
      <c r="H366" s="54">
        <v>0</v>
      </c>
      <c r="I366" t="s">
        <v>2881</v>
      </c>
      <c r="J366" s="31">
        <v>522.04</v>
      </c>
      <c r="K366" s="36" t="s">
        <v>1306</v>
      </c>
      <c r="L366" t="s">
        <v>2504</v>
      </c>
      <c r="M366" t="s">
        <v>3099</v>
      </c>
      <c r="N366" t="s">
        <v>1341</v>
      </c>
      <c r="O366" t="s">
        <v>3100</v>
      </c>
      <c r="P366" t="s">
        <v>1341</v>
      </c>
      <c r="Q366" s="23">
        <v>46281.463201597224</v>
      </c>
      <c r="R366" s="32">
        <f>IF(OR(tbl_de_massas[[#This Row],[dia_vencimento]]="", tbl_de_massas[[#This Row],[dia_vencimento]]="--"), "", WORKDAY(tbl_de_massas[[#This Row],[dia_vencimento]], 5))</f>
        <v>17</v>
      </c>
    </row>
    <row r="367" spans="1:18" x14ac:dyDescent="0.25">
      <c r="A367" t="s">
        <v>3101</v>
      </c>
      <c r="B367" t="s">
        <v>3102</v>
      </c>
      <c r="C367" s="32" t="s">
        <v>605</v>
      </c>
      <c r="D367" t="s">
        <v>3103</v>
      </c>
      <c r="E367" s="54">
        <v>11420.98</v>
      </c>
      <c r="F367" s="54">
        <v>4762.26</v>
      </c>
      <c r="G367" s="54">
        <v>10450.36</v>
      </c>
      <c r="H367" s="54">
        <v>3870.86</v>
      </c>
      <c r="I367" t="s">
        <v>2877</v>
      </c>
      <c r="J367" s="31">
        <v>4762.26</v>
      </c>
      <c r="K367" s="36" t="s">
        <v>2675</v>
      </c>
      <c r="L367" t="s">
        <v>2502</v>
      </c>
      <c r="M367" t="s">
        <v>67</v>
      </c>
      <c r="O367" t="s">
        <v>3104</v>
      </c>
      <c r="P367" t="s">
        <v>1341</v>
      </c>
      <c r="Q367" s="23">
        <v>46281.463203206018</v>
      </c>
      <c r="R367" s="32">
        <f>IF(OR(tbl_de_massas[[#This Row],[dia_vencimento]]="", tbl_de_massas[[#This Row],[dia_vencimento]]="--"), "", WORKDAY(tbl_de_massas[[#This Row],[dia_vencimento]], 5))</f>
        <v>17</v>
      </c>
    </row>
    <row r="368" spans="1:18" x14ac:dyDescent="0.25">
      <c r="A368" t="s">
        <v>3105</v>
      </c>
      <c r="B368" t="s">
        <v>3106</v>
      </c>
      <c r="C368" s="32" t="s">
        <v>611</v>
      </c>
      <c r="D368" t="s">
        <v>3107</v>
      </c>
      <c r="E368" s="54">
        <v>3753.76</v>
      </c>
      <c r="F368" s="54">
        <v>0</v>
      </c>
      <c r="G368" s="54">
        <v>21608.69</v>
      </c>
      <c r="H368" s="54">
        <v>0</v>
      </c>
      <c r="I368" t="s">
        <v>2881</v>
      </c>
      <c r="J368" s="31">
        <v>737.17</v>
      </c>
      <c r="K368" s="36" t="s">
        <v>1306</v>
      </c>
      <c r="L368" t="s">
        <v>2504</v>
      </c>
      <c r="M368" t="s">
        <v>67</v>
      </c>
      <c r="O368" t="s">
        <v>3108</v>
      </c>
      <c r="P368" t="s">
        <v>1341</v>
      </c>
      <c r="Q368" s="23">
        <v>46281.463205335647</v>
      </c>
      <c r="R368" s="32">
        <f>IF(OR(tbl_de_massas[[#This Row],[dia_vencimento]]="", tbl_de_massas[[#This Row],[dia_vencimento]]="--"), "", WORKDAY(tbl_de_massas[[#This Row],[dia_vencimento]], 5))</f>
        <v>32</v>
      </c>
    </row>
    <row r="369" spans="1:18" x14ac:dyDescent="0.25">
      <c r="A369" t="s">
        <v>3109</v>
      </c>
      <c r="B369" t="s">
        <v>3110</v>
      </c>
      <c r="C369" s="32" t="s">
        <v>5827</v>
      </c>
      <c r="D369" t="s">
        <v>3111</v>
      </c>
      <c r="E369" s="54">
        <v>6792.3</v>
      </c>
      <c r="F369" s="54">
        <v>4717.38</v>
      </c>
      <c r="G369" s="54">
        <v>8989.06</v>
      </c>
      <c r="H369" s="54">
        <v>3870.86</v>
      </c>
      <c r="I369" t="s">
        <v>2877</v>
      </c>
      <c r="J369" s="31">
        <v>4717.38</v>
      </c>
      <c r="K369" s="36" t="s">
        <v>2675</v>
      </c>
      <c r="L369" t="s">
        <v>2502</v>
      </c>
      <c r="M369" t="s">
        <v>67</v>
      </c>
      <c r="O369" t="s">
        <v>3112</v>
      </c>
      <c r="P369" t="s">
        <v>1341</v>
      </c>
      <c r="Q369" s="23">
        <v>46281.463206932873</v>
      </c>
      <c r="R369" s="32">
        <f>IF(OR(tbl_de_massas[[#This Row],[dia_vencimento]]="", tbl_de_massas[[#This Row],[dia_vencimento]]="--"), "", WORKDAY(tbl_de_massas[[#This Row],[dia_vencimento]], 5))</f>
        <v>12</v>
      </c>
    </row>
    <row r="370" spans="1:18" x14ac:dyDescent="0.25">
      <c r="A370" t="s">
        <v>3113</v>
      </c>
      <c r="B370" t="s">
        <v>3114</v>
      </c>
      <c r="C370" s="32" t="s">
        <v>608</v>
      </c>
      <c r="D370" t="s">
        <v>3115</v>
      </c>
      <c r="E370" s="54">
        <v>1370.51</v>
      </c>
      <c r="F370" s="54">
        <v>4679.8100000000004</v>
      </c>
      <c r="G370" s="54">
        <v>10625.79</v>
      </c>
      <c r="H370" s="54">
        <v>3870.86</v>
      </c>
      <c r="I370" t="s">
        <v>2877</v>
      </c>
      <c r="J370" s="31">
        <v>4679.8100000000004</v>
      </c>
      <c r="K370" s="36" t="s">
        <v>2675</v>
      </c>
      <c r="L370" t="s">
        <v>2502</v>
      </c>
      <c r="M370" t="s">
        <v>67</v>
      </c>
      <c r="O370" t="s">
        <v>3116</v>
      </c>
      <c r="P370" t="s">
        <v>1341</v>
      </c>
      <c r="Q370" s="23">
        <v>46281.463208715279</v>
      </c>
      <c r="R370" s="32">
        <f>IF(OR(tbl_de_massas[[#This Row],[dia_vencimento]]="", tbl_de_massas[[#This Row],[dia_vencimento]]="--"), "", WORKDAY(tbl_de_massas[[#This Row],[dia_vencimento]], 5))</f>
        <v>27</v>
      </c>
    </row>
    <row r="371" spans="1:18" x14ac:dyDescent="0.25">
      <c r="A371" t="s">
        <v>3117</v>
      </c>
      <c r="B371" t="s">
        <v>3118</v>
      </c>
      <c r="C371" s="32" t="s">
        <v>605</v>
      </c>
      <c r="D371" t="s">
        <v>3119</v>
      </c>
      <c r="E371" s="54">
        <v>5018.01</v>
      </c>
      <c r="F371" s="54">
        <v>509.01</v>
      </c>
      <c r="G371" s="54">
        <v>4508.26</v>
      </c>
      <c r="H371" s="54">
        <v>0</v>
      </c>
      <c r="I371" t="s">
        <v>2881</v>
      </c>
      <c r="J371" s="31">
        <v>509.01</v>
      </c>
      <c r="K371" s="36" t="s">
        <v>1306</v>
      </c>
      <c r="L371" t="s">
        <v>2504</v>
      </c>
      <c r="M371" t="s">
        <v>67</v>
      </c>
      <c r="O371" t="s">
        <v>3120</v>
      </c>
      <c r="P371" t="s">
        <v>1341</v>
      </c>
      <c r="Q371" s="23">
        <v>46281.463210636575</v>
      </c>
      <c r="R371" s="32">
        <f>IF(OR(tbl_de_massas[[#This Row],[dia_vencimento]]="", tbl_de_massas[[#This Row],[dia_vencimento]]="--"), "", WORKDAY(tbl_de_massas[[#This Row],[dia_vencimento]], 5))</f>
        <v>17</v>
      </c>
    </row>
    <row r="372" spans="1:18" x14ac:dyDescent="0.25">
      <c r="A372" t="s">
        <v>3121</v>
      </c>
      <c r="B372" t="s">
        <v>3122</v>
      </c>
      <c r="C372" s="32" t="s">
        <v>611</v>
      </c>
      <c r="D372" t="s">
        <v>3123</v>
      </c>
      <c r="E372" s="54">
        <v>2149.0300000000002</v>
      </c>
      <c r="F372" s="54">
        <v>0</v>
      </c>
      <c r="G372" s="54">
        <v>19147</v>
      </c>
      <c r="H372" s="54">
        <v>0</v>
      </c>
      <c r="I372" t="s">
        <v>2881</v>
      </c>
      <c r="J372" s="31">
        <v>608.14</v>
      </c>
      <c r="K372" s="36" t="s">
        <v>1306</v>
      </c>
      <c r="L372" t="s">
        <v>2504</v>
      </c>
      <c r="M372" t="s">
        <v>67</v>
      </c>
      <c r="O372" t="s">
        <v>3124</v>
      </c>
      <c r="P372" t="s">
        <v>1341</v>
      </c>
      <c r="Q372" s="23">
        <v>46281.463212175928</v>
      </c>
      <c r="R372" s="32">
        <f>IF(OR(tbl_de_massas[[#This Row],[dia_vencimento]]="", tbl_de_massas[[#This Row],[dia_vencimento]]="--"), "", WORKDAY(tbl_de_massas[[#This Row],[dia_vencimento]], 5))</f>
        <v>32</v>
      </c>
    </row>
    <row r="373" spans="1:18" x14ac:dyDescent="0.25">
      <c r="A373" t="s">
        <v>3125</v>
      </c>
      <c r="B373" t="s">
        <v>3126</v>
      </c>
      <c r="C373" s="32" t="s">
        <v>608</v>
      </c>
      <c r="D373" t="s">
        <v>3127</v>
      </c>
      <c r="E373" s="54">
        <v>3965.24</v>
      </c>
      <c r="F373" s="54">
        <v>4767.54</v>
      </c>
      <c r="G373" s="54">
        <v>-2358.0100000000002</v>
      </c>
      <c r="H373" s="54">
        <v>3870.86</v>
      </c>
      <c r="I373" t="s">
        <v>2877</v>
      </c>
      <c r="J373" s="31">
        <v>4767.54</v>
      </c>
      <c r="K373" s="36" t="s">
        <v>2675</v>
      </c>
      <c r="L373" t="s">
        <v>2502</v>
      </c>
      <c r="M373" t="s">
        <v>67</v>
      </c>
      <c r="O373" t="s">
        <v>3128</v>
      </c>
      <c r="P373" t="s">
        <v>1341</v>
      </c>
      <c r="Q373" s="23">
        <v>46281.463213599534</v>
      </c>
      <c r="R373" s="32">
        <f>IF(OR(tbl_de_massas[[#This Row],[dia_vencimento]]="", tbl_de_massas[[#This Row],[dia_vencimento]]="--"), "", WORKDAY(tbl_de_massas[[#This Row],[dia_vencimento]], 5))</f>
        <v>27</v>
      </c>
    </row>
    <row r="374" spans="1:18" x14ac:dyDescent="0.25">
      <c r="A374" t="s">
        <v>3129</v>
      </c>
      <c r="B374" t="s">
        <v>3130</v>
      </c>
      <c r="C374" s="32" t="s">
        <v>605</v>
      </c>
      <c r="D374" t="s">
        <v>3131</v>
      </c>
      <c r="E374" s="54">
        <v>4430.84</v>
      </c>
      <c r="F374" s="54">
        <v>794.46</v>
      </c>
      <c r="G374" s="54">
        <v>10069.120000000001</v>
      </c>
      <c r="H374" s="54">
        <v>0</v>
      </c>
      <c r="I374" t="s">
        <v>2881</v>
      </c>
      <c r="J374" s="31">
        <v>794.46</v>
      </c>
      <c r="K374" s="36" t="s">
        <v>1306</v>
      </c>
      <c r="L374" t="s">
        <v>2504</v>
      </c>
      <c r="M374" t="s">
        <v>3132</v>
      </c>
      <c r="N374" t="s">
        <v>1341</v>
      </c>
      <c r="O374" t="s">
        <v>67</v>
      </c>
      <c r="Q374" s="23">
        <v>46281.463215625001</v>
      </c>
      <c r="R374" s="32">
        <f>IF(OR(tbl_de_massas[[#This Row],[dia_vencimento]]="", tbl_de_massas[[#This Row],[dia_vencimento]]="--"), "", WORKDAY(tbl_de_massas[[#This Row],[dia_vencimento]], 5))</f>
        <v>17</v>
      </c>
    </row>
    <row r="375" spans="1:18" x14ac:dyDescent="0.25">
      <c r="A375" t="s">
        <v>3133</v>
      </c>
      <c r="B375" t="s">
        <v>3134</v>
      </c>
      <c r="C375" s="32" t="s">
        <v>5827</v>
      </c>
      <c r="D375" t="s">
        <v>3135</v>
      </c>
      <c r="E375" s="54">
        <v>8327.7900000000009</v>
      </c>
      <c r="F375" s="54">
        <v>4756.4799999999996</v>
      </c>
      <c r="G375" s="54">
        <v>13341.36</v>
      </c>
      <c r="H375" s="54">
        <v>3870.86</v>
      </c>
      <c r="I375" t="s">
        <v>2877</v>
      </c>
      <c r="J375" s="31">
        <v>4756.4799999999996</v>
      </c>
      <c r="K375" s="36" t="s">
        <v>2675</v>
      </c>
      <c r="L375" t="s">
        <v>2502</v>
      </c>
      <c r="M375" t="s">
        <v>67</v>
      </c>
      <c r="O375" t="s">
        <v>3136</v>
      </c>
      <c r="P375" t="s">
        <v>1341</v>
      </c>
      <c r="Q375" s="23">
        <v>46281.463217430559</v>
      </c>
      <c r="R375" s="32">
        <f>IF(OR(tbl_de_massas[[#This Row],[dia_vencimento]]="", tbl_de_massas[[#This Row],[dia_vencimento]]="--"), "", WORKDAY(tbl_de_massas[[#This Row],[dia_vencimento]], 5))</f>
        <v>12</v>
      </c>
    </row>
    <row r="376" spans="1:18" x14ac:dyDescent="0.25">
      <c r="A376" t="s">
        <v>3137</v>
      </c>
      <c r="B376" t="s">
        <v>3138</v>
      </c>
      <c r="C376" s="32" t="s">
        <v>608</v>
      </c>
      <c r="D376" t="s">
        <v>3139</v>
      </c>
      <c r="E376" s="54">
        <v>14989.9</v>
      </c>
      <c r="F376" s="54">
        <v>0</v>
      </c>
      <c r="G376" s="54">
        <v>9018.8700000000008</v>
      </c>
      <c r="H376" s="54">
        <v>0</v>
      </c>
      <c r="I376" t="s">
        <v>2881</v>
      </c>
      <c r="J376" s="31">
        <v>497.41</v>
      </c>
      <c r="K376" s="36" t="s">
        <v>1306</v>
      </c>
      <c r="L376" t="s">
        <v>2504</v>
      </c>
      <c r="M376" t="s">
        <v>3140</v>
      </c>
      <c r="N376" t="s">
        <v>1341</v>
      </c>
      <c r="O376" t="s">
        <v>67</v>
      </c>
      <c r="Q376" s="23">
        <v>46281.463219282406</v>
      </c>
      <c r="R376" s="32">
        <f>IF(OR(tbl_de_massas[[#This Row],[dia_vencimento]]="", tbl_de_massas[[#This Row],[dia_vencimento]]="--"), "", WORKDAY(tbl_de_massas[[#This Row],[dia_vencimento]], 5))</f>
        <v>27</v>
      </c>
    </row>
    <row r="377" spans="1:18" x14ac:dyDescent="0.25">
      <c r="A377" t="s">
        <v>3141</v>
      </c>
      <c r="B377" t="s">
        <v>3142</v>
      </c>
      <c r="C377" s="32" t="s">
        <v>605</v>
      </c>
      <c r="D377" t="s">
        <v>3143</v>
      </c>
      <c r="E377" s="54">
        <v>7321.48</v>
      </c>
      <c r="F377" s="54">
        <v>4723.1099999999997</v>
      </c>
      <c r="G377" s="54">
        <v>5219.18</v>
      </c>
      <c r="H377" s="54">
        <v>3870.86</v>
      </c>
      <c r="I377" t="s">
        <v>2877</v>
      </c>
      <c r="J377" s="31">
        <v>4723.1099999999997</v>
      </c>
      <c r="K377" s="36" t="s">
        <v>2675</v>
      </c>
      <c r="L377" t="s">
        <v>2502</v>
      </c>
      <c r="M377" t="s">
        <v>3144</v>
      </c>
      <c r="N377" t="s">
        <v>1345</v>
      </c>
      <c r="O377" t="s">
        <v>3145</v>
      </c>
      <c r="P377" t="s">
        <v>1345</v>
      </c>
      <c r="Q377" s="23">
        <v>46281.463220810183</v>
      </c>
      <c r="R377" s="32">
        <f>IF(OR(tbl_de_massas[[#This Row],[dia_vencimento]]="", tbl_de_massas[[#This Row],[dia_vencimento]]="--"), "", WORKDAY(tbl_de_massas[[#This Row],[dia_vencimento]], 5))</f>
        <v>17</v>
      </c>
    </row>
    <row r="378" spans="1:18" x14ac:dyDescent="0.25">
      <c r="A378" t="s">
        <v>3146</v>
      </c>
      <c r="B378" t="s">
        <v>3147</v>
      </c>
      <c r="C378" s="32" t="s">
        <v>608</v>
      </c>
      <c r="D378" t="s">
        <v>3148</v>
      </c>
      <c r="E378" s="54">
        <v>10565.51</v>
      </c>
      <c r="F378" s="54">
        <v>4615.18</v>
      </c>
      <c r="G378" s="54">
        <v>4212.51</v>
      </c>
      <c r="H378" s="54">
        <v>3870.86</v>
      </c>
      <c r="I378" t="s">
        <v>2877</v>
      </c>
      <c r="J378" s="31">
        <v>4615.18</v>
      </c>
      <c r="K378" s="36" t="s">
        <v>2675</v>
      </c>
      <c r="L378" t="s">
        <v>2502</v>
      </c>
      <c r="M378" t="s">
        <v>67</v>
      </c>
      <c r="O378" t="s">
        <v>3149</v>
      </c>
      <c r="P378" t="s">
        <v>1341</v>
      </c>
      <c r="Q378" s="23">
        <v>46281.4632227662</v>
      </c>
      <c r="R378" s="32">
        <f>IF(OR(tbl_de_massas[[#This Row],[dia_vencimento]]="", tbl_de_massas[[#This Row],[dia_vencimento]]="--"), "", WORKDAY(tbl_de_massas[[#This Row],[dia_vencimento]], 5))</f>
        <v>27</v>
      </c>
    </row>
    <row r="379" spans="1:18" x14ac:dyDescent="0.25">
      <c r="A379" t="s">
        <v>3150</v>
      </c>
      <c r="B379" t="s">
        <v>3151</v>
      </c>
      <c r="C379" s="32" t="s">
        <v>605</v>
      </c>
      <c r="D379" t="s">
        <v>3152</v>
      </c>
      <c r="E379" s="54">
        <v>5817.38</v>
      </c>
      <c r="F379" s="54">
        <v>4796.12</v>
      </c>
      <c r="G379" s="54">
        <v>3470.3</v>
      </c>
      <c r="H379" s="54">
        <v>3870.86</v>
      </c>
      <c r="I379" t="s">
        <v>2877</v>
      </c>
      <c r="J379" s="31">
        <v>4796.12</v>
      </c>
      <c r="K379" s="36" t="s">
        <v>2675</v>
      </c>
      <c r="L379" t="s">
        <v>2502</v>
      </c>
      <c r="M379" t="s">
        <v>3153</v>
      </c>
      <c r="N379" t="s">
        <v>1341</v>
      </c>
      <c r="O379" t="s">
        <v>67</v>
      </c>
      <c r="Q379" s="23">
        <v>46281.463224525462</v>
      </c>
      <c r="R379" s="32">
        <f>IF(OR(tbl_de_massas[[#This Row],[dia_vencimento]]="", tbl_de_massas[[#This Row],[dia_vencimento]]="--"), "", WORKDAY(tbl_de_massas[[#This Row],[dia_vencimento]], 5))</f>
        <v>17</v>
      </c>
    </row>
    <row r="380" spans="1:18" x14ac:dyDescent="0.25">
      <c r="A380" t="s">
        <v>3154</v>
      </c>
      <c r="B380" t="s">
        <v>3155</v>
      </c>
      <c r="C380" s="32" t="s">
        <v>605</v>
      </c>
      <c r="D380" t="s">
        <v>3156</v>
      </c>
      <c r="E380" s="54">
        <v>6878.82</v>
      </c>
      <c r="F380" s="54">
        <v>987.34</v>
      </c>
      <c r="G380" s="54">
        <v>13040.52</v>
      </c>
      <c r="H380" s="54">
        <v>0</v>
      </c>
      <c r="I380" t="s">
        <v>2881</v>
      </c>
      <c r="J380" s="31">
        <v>987.34</v>
      </c>
      <c r="K380" s="36" t="s">
        <v>1306</v>
      </c>
      <c r="L380" t="s">
        <v>2504</v>
      </c>
      <c r="M380" t="s">
        <v>67</v>
      </c>
      <c r="O380" t="s">
        <v>3157</v>
      </c>
      <c r="P380" t="s">
        <v>1341</v>
      </c>
      <c r="Q380" s="23">
        <v>46281.463226342596</v>
      </c>
      <c r="R380" s="32">
        <f>IF(OR(tbl_de_massas[[#This Row],[dia_vencimento]]="", tbl_de_massas[[#This Row],[dia_vencimento]]="--"), "", WORKDAY(tbl_de_massas[[#This Row],[dia_vencimento]], 5))</f>
        <v>17</v>
      </c>
    </row>
    <row r="381" spans="1:18" x14ac:dyDescent="0.25">
      <c r="A381" t="s">
        <v>3158</v>
      </c>
      <c r="B381" t="s">
        <v>3159</v>
      </c>
      <c r="C381" s="32" t="s">
        <v>605</v>
      </c>
      <c r="D381" t="s">
        <v>3160</v>
      </c>
      <c r="E381" s="54">
        <v>5168.5</v>
      </c>
      <c r="F381" s="54">
        <v>5015.87</v>
      </c>
      <c r="G381" s="54">
        <v>-309.37</v>
      </c>
      <c r="H381" s="54">
        <v>3870.86</v>
      </c>
      <c r="I381" t="s">
        <v>2877</v>
      </c>
      <c r="J381" s="31">
        <v>5015.87</v>
      </c>
      <c r="K381" s="36" t="s">
        <v>2675</v>
      </c>
      <c r="L381" t="s">
        <v>2502</v>
      </c>
      <c r="M381" t="s">
        <v>3161</v>
      </c>
      <c r="N381" t="s">
        <v>1341</v>
      </c>
      <c r="O381" t="s">
        <v>67</v>
      </c>
      <c r="Q381" s="23">
        <v>46281.46322824074</v>
      </c>
      <c r="R381" s="32">
        <f>IF(OR(tbl_de_massas[[#This Row],[dia_vencimento]]="", tbl_de_massas[[#This Row],[dia_vencimento]]="--"), "", WORKDAY(tbl_de_massas[[#This Row],[dia_vencimento]], 5))</f>
        <v>17</v>
      </c>
    </row>
    <row r="382" spans="1:18" x14ac:dyDescent="0.25">
      <c r="A382" t="s">
        <v>3162</v>
      </c>
      <c r="B382" t="s">
        <v>3163</v>
      </c>
      <c r="C382" s="32" t="s">
        <v>608</v>
      </c>
      <c r="D382" t="s">
        <v>3164</v>
      </c>
      <c r="E382" s="54">
        <v>4375.01</v>
      </c>
      <c r="F382" s="54">
        <v>4653.33</v>
      </c>
      <c r="G382" s="54">
        <v>14910.69</v>
      </c>
      <c r="H382" s="54">
        <v>3870.86</v>
      </c>
      <c r="I382" t="s">
        <v>2877</v>
      </c>
      <c r="J382" s="31">
        <v>4653.33</v>
      </c>
      <c r="K382" s="36" t="s">
        <v>2675</v>
      </c>
      <c r="L382" t="s">
        <v>2502</v>
      </c>
      <c r="M382" t="s">
        <v>3165</v>
      </c>
      <c r="N382" t="s">
        <v>1341</v>
      </c>
      <c r="O382" t="s">
        <v>3166</v>
      </c>
      <c r="P382" t="s">
        <v>1341</v>
      </c>
      <c r="Q382" s="23">
        <v>46281.463230358793</v>
      </c>
      <c r="R382" s="32">
        <f>IF(OR(tbl_de_massas[[#This Row],[dia_vencimento]]="", tbl_de_massas[[#This Row],[dia_vencimento]]="--"), "", WORKDAY(tbl_de_massas[[#This Row],[dia_vencimento]], 5))</f>
        <v>27</v>
      </c>
    </row>
    <row r="383" spans="1:18" x14ac:dyDescent="0.25">
      <c r="A383" t="s">
        <v>3167</v>
      </c>
      <c r="B383" t="s">
        <v>3168</v>
      </c>
      <c r="C383" s="32" t="s">
        <v>5827</v>
      </c>
      <c r="D383" t="s">
        <v>3169</v>
      </c>
      <c r="E383" s="54">
        <v>6500.15</v>
      </c>
      <c r="F383" s="54">
        <v>4786.18</v>
      </c>
      <c r="G383" s="54">
        <v>1476.37</v>
      </c>
      <c r="H383" s="54">
        <v>3870.86</v>
      </c>
      <c r="I383" t="s">
        <v>2877</v>
      </c>
      <c r="J383" s="31">
        <v>4786.18</v>
      </c>
      <c r="K383" s="36" t="s">
        <v>2675</v>
      </c>
      <c r="L383" t="s">
        <v>2502</v>
      </c>
      <c r="M383" t="s">
        <v>67</v>
      </c>
      <c r="O383" t="s">
        <v>3170</v>
      </c>
      <c r="P383" t="s">
        <v>1341</v>
      </c>
      <c r="Q383" s="23">
        <v>46281.463232453701</v>
      </c>
      <c r="R383" s="32">
        <f>IF(OR(tbl_de_massas[[#This Row],[dia_vencimento]]="", tbl_de_massas[[#This Row],[dia_vencimento]]="--"), "", WORKDAY(tbl_de_massas[[#This Row],[dia_vencimento]], 5))</f>
        <v>12</v>
      </c>
    </row>
    <row r="384" spans="1:18" x14ac:dyDescent="0.25">
      <c r="A384" t="s">
        <v>3171</v>
      </c>
      <c r="B384" t="s">
        <v>3172</v>
      </c>
      <c r="C384" s="32" t="s">
        <v>605</v>
      </c>
      <c r="D384" t="s">
        <v>3173</v>
      </c>
      <c r="E384" s="54">
        <v>919.88</v>
      </c>
      <c r="F384" s="54">
        <v>5018.55</v>
      </c>
      <c r="G384" s="54">
        <v>8601.0300000000007</v>
      </c>
      <c r="H384" s="54">
        <v>3870.86</v>
      </c>
      <c r="I384" t="s">
        <v>2877</v>
      </c>
      <c r="J384" s="31">
        <v>5018.55</v>
      </c>
      <c r="K384" s="36" t="s">
        <v>2675</v>
      </c>
      <c r="L384" t="s">
        <v>2502</v>
      </c>
      <c r="M384" t="s">
        <v>67</v>
      </c>
      <c r="O384" t="s">
        <v>3174</v>
      </c>
      <c r="P384" t="s">
        <v>1341</v>
      </c>
      <c r="Q384" s="23">
        <v>46281.463234432871</v>
      </c>
      <c r="R384" s="32">
        <f>IF(OR(tbl_de_massas[[#This Row],[dia_vencimento]]="", tbl_de_massas[[#This Row],[dia_vencimento]]="--"), "", WORKDAY(tbl_de_massas[[#This Row],[dia_vencimento]], 5))</f>
        <v>17</v>
      </c>
    </row>
    <row r="385" spans="1:18" x14ac:dyDescent="0.25">
      <c r="A385" t="s">
        <v>3175</v>
      </c>
      <c r="B385" t="s">
        <v>3176</v>
      </c>
      <c r="C385" s="32" t="s">
        <v>611</v>
      </c>
      <c r="D385" t="s">
        <v>3177</v>
      </c>
      <c r="E385" s="54">
        <v>9889.94</v>
      </c>
      <c r="F385" s="54">
        <v>4907.82</v>
      </c>
      <c r="G385" s="54">
        <v>9824.06</v>
      </c>
      <c r="H385" s="54">
        <v>3870.86</v>
      </c>
      <c r="I385" t="s">
        <v>2877</v>
      </c>
      <c r="J385" s="31">
        <v>4907.82</v>
      </c>
      <c r="K385" s="36" t="s">
        <v>2675</v>
      </c>
      <c r="L385" t="s">
        <v>2502</v>
      </c>
      <c r="M385" t="s">
        <v>3178</v>
      </c>
      <c r="N385" t="s">
        <v>1341</v>
      </c>
      <c r="O385" t="s">
        <v>67</v>
      </c>
      <c r="Q385" s="23">
        <v>46281.463236307871</v>
      </c>
      <c r="R385" s="32">
        <f>IF(OR(tbl_de_massas[[#This Row],[dia_vencimento]]="", tbl_de_massas[[#This Row],[dia_vencimento]]="--"), "", WORKDAY(tbl_de_massas[[#This Row],[dia_vencimento]], 5))</f>
        <v>32</v>
      </c>
    </row>
    <row r="386" spans="1:18" x14ac:dyDescent="0.25">
      <c r="A386" t="s">
        <v>3179</v>
      </c>
      <c r="B386" t="s">
        <v>3180</v>
      </c>
      <c r="C386" s="32" t="s">
        <v>608</v>
      </c>
      <c r="D386" t="s">
        <v>3181</v>
      </c>
      <c r="E386" s="54">
        <v>8325.4500000000007</v>
      </c>
      <c r="F386" s="54">
        <v>4808.1899999999996</v>
      </c>
      <c r="G386" s="54">
        <v>10605.91</v>
      </c>
      <c r="H386" s="54">
        <v>3870.86</v>
      </c>
      <c r="I386" t="s">
        <v>2877</v>
      </c>
      <c r="J386" s="31">
        <v>4808.1899999999996</v>
      </c>
      <c r="K386" s="36" t="s">
        <v>2675</v>
      </c>
      <c r="L386" t="s">
        <v>2502</v>
      </c>
      <c r="M386" t="s">
        <v>3182</v>
      </c>
      <c r="N386" t="s">
        <v>1341</v>
      </c>
      <c r="O386" t="s">
        <v>67</v>
      </c>
      <c r="Q386" s="23">
        <v>46281.463238101853</v>
      </c>
      <c r="R386" s="32">
        <f>IF(OR(tbl_de_massas[[#This Row],[dia_vencimento]]="", tbl_de_massas[[#This Row],[dia_vencimento]]="--"), "", WORKDAY(tbl_de_massas[[#This Row],[dia_vencimento]], 5))</f>
        <v>27</v>
      </c>
    </row>
    <row r="387" spans="1:18" x14ac:dyDescent="0.25">
      <c r="A387" t="s">
        <v>3183</v>
      </c>
      <c r="B387" t="s">
        <v>3184</v>
      </c>
      <c r="C387" s="32" t="s">
        <v>605</v>
      </c>
      <c r="D387" t="s">
        <v>3185</v>
      </c>
      <c r="E387" s="54">
        <v>11874.35</v>
      </c>
      <c r="F387" s="54">
        <v>809.03</v>
      </c>
      <c r="G387" s="54">
        <v>8531.43</v>
      </c>
      <c r="H387" s="54">
        <v>0</v>
      </c>
      <c r="I387" t="s">
        <v>2881</v>
      </c>
      <c r="J387" s="31">
        <v>809.03</v>
      </c>
      <c r="K387" s="36" t="s">
        <v>1306</v>
      </c>
      <c r="L387" t="s">
        <v>2504</v>
      </c>
      <c r="M387" t="s">
        <v>3186</v>
      </c>
      <c r="N387" t="s">
        <v>1341</v>
      </c>
      <c r="O387" t="s">
        <v>67</v>
      </c>
      <c r="Q387" s="23">
        <v>46281.463240150464</v>
      </c>
      <c r="R387" s="32">
        <f>IF(OR(tbl_de_massas[[#This Row],[dia_vencimento]]="", tbl_de_massas[[#This Row],[dia_vencimento]]="--"), "", WORKDAY(tbl_de_massas[[#This Row],[dia_vencimento]], 5))</f>
        <v>17</v>
      </c>
    </row>
    <row r="388" spans="1:18" x14ac:dyDescent="0.25">
      <c r="A388" t="s">
        <v>3187</v>
      </c>
      <c r="B388" t="s">
        <v>3188</v>
      </c>
      <c r="C388" s="32" t="s">
        <v>5827</v>
      </c>
      <c r="D388" t="s">
        <v>3189</v>
      </c>
      <c r="E388" s="54">
        <v>10243.49</v>
      </c>
      <c r="F388" s="54">
        <v>4766.6899999999996</v>
      </c>
      <c r="G388" s="54">
        <v>18.2</v>
      </c>
      <c r="H388" s="54">
        <v>3870.86</v>
      </c>
      <c r="I388" t="s">
        <v>2877</v>
      </c>
      <c r="J388" s="31">
        <v>4766.6899999999996</v>
      </c>
      <c r="K388" s="36" t="s">
        <v>2675</v>
      </c>
      <c r="L388" t="s">
        <v>2502</v>
      </c>
      <c r="M388" t="s">
        <v>3190</v>
      </c>
      <c r="N388" t="s">
        <v>1341</v>
      </c>
      <c r="O388" t="s">
        <v>3191</v>
      </c>
      <c r="P388" t="s">
        <v>1341</v>
      </c>
      <c r="Q388" s="23">
        <v>46281.463241793979</v>
      </c>
      <c r="R388" s="32">
        <f>IF(OR(tbl_de_massas[[#This Row],[dia_vencimento]]="", tbl_de_massas[[#This Row],[dia_vencimento]]="--"), "", WORKDAY(tbl_de_massas[[#This Row],[dia_vencimento]], 5))</f>
        <v>12</v>
      </c>
    </row>
    <row r="389" spans="1:18" x14ac:dyDescent="0.25">
      <c r="A389" t="s">
        <v>3192</v>
      </c>
      <c r="B389" t="s">
        <v>3193</v>
      </c>
      <c r="C389" s="32" t="s">
        <v>5827</v>
      </c>
      <c r="D389" t="s">
        <v>3194</v>
      </c>
      <c r="E389" s="54">
        <v>3571.91</v>
      </c>
      <c r="F389" s="54">
        <v>4748.76</v>
      </c>
      <c r="G389" s="54">
        <v>5514.75</v>
      </c>
      <c r="H389" s="54">
        <v>3870.86</v>
      </c>
      <c r="I389" t="s">
        <v>2877</v>
      </c>
      <c r="J389" s="31">
        <v>4748.76</v>
      </c>
      <c r="K389" s="36" t="s">
        <v>2675</v>
      </c>
      <c r="L389" t="s">
        <v>2502</v>
      </c>
      <c r="M389" t="s">
        <v>3195</v>
      </c>
      <c r="N389" t="s">
        <v>1341</v>
      </c>
      <c r="O389" t="s">
        <v>67</v>
      </c>
      <c r="Q389" s="23">
        <v>46281.463243796294</v>
      </c>
      <c r="R389" s="32">
        <f>IF(OR(tbl_de_massas[[#This Row],[dia_vencimento]]="", tbl_de_massas[[#This Row],[dia_vencimento]]="--"), "", WORKDAY(tbl_de_massas[[#This Row],[dia_vencimento]], 5))</f>
        <v>12</v>
      </c>
    </row>
    <row r="390" spans="1:18" x14ac:dyDescent="0.25">
      <c r="A390" t="s">
        <v>3196</v>
      </c>
      <c r="B390" t="s">
        <v>3197</v>
      </c>
      <c r="C390" s="32" t="s">
        <v>607</v>
      </c>
      <c r="D390" t="s">
        <v>3198</v>
      </c>
      <c r="E390" s="54">
        <v>864.69</v>
      </c>
      <c r="F390" s="54">
        <v>4718.37</v>
      </c>
      <c r="G390" s="54">
        <v>13232.48</v>
      </c>
      <c r="H390" s="54">
        <v>3870.86</v>
      </c>
      <c r="I390" t="s">
        <v>2877</v>
      </c>
      <c r="J390" s="31">
        <v>4718.37</v>
      </c>
      <c r="K390" s="36" t="s">
        <v>2675</v>
      </c>
      <c r="L390" t="s">
        <v>2502</v>
      </c>
      <c r="M390" t="s">
        <v>3199</v>
      </c>
      <c r="N390" t="s">
        <v>1341</v>
      </c>
      <c r="O390" t="s">
        <v>3200</v>
      </c>
      <c r="P390" t="s">
        <v>1341</v>
      </c>
      <c r="Q390" s="23">
        <v>46281.46324582176</v>
      </c>
      <c r="R390" s="32">
        <f>IF(OR(tbl_de_massas[[#This Row],[dia_vencimento]]="", tbl_de_massas[[#This Row],[dia_vencimento]]="--"), "", WORKDAY(tbl_de_massas[[#This Row],[dia_vencimento]], 5))</f>
        <v>20</v>
      </c>
    </row>
    <row r="391" spans="1:18" x14ac:dyDescent="0.25">
      <c r="A391" t="s">
        <v>3201</v>
      </c>
      <c r="B391" t="s">
        <v>3202</v>
      </c>
      <c r="C391" s="32" t="s">
        <v>605</v>
      </c>
      <c r="D391" t="s">
        <v>3203</v>
      </c>
      <c r="E391" s="54">
        <v>11456.63</v>
      </c>
      <c r="F391" s="54">
        <v>4898.7299999999996</v>
      </c>
      <c r="G391" s="54">
        <v>-1885.99</v>
      </c>
      <c r="H391" s="54">
        <v>3870.86</v>
      </c>
      <c r="I391" t="s">
        <v>2877</v>
      </c>
      <c r="J391" s="31">
        <v>4898.7299999999996</v>
      </c>
      <c r="K391" s="36" t="s">
        <v>2675</v>
      </c>
      <c r="L391" t="s">
        <v>2502</v>
      </c>
      <c r="M391" t="s">
        <v>3204</v>
      </c>
      <c r="N391" t="s">
        <v>1341</v>
      </c>
      <c r="O391" t="s">
        <v>3205</v>
      </c>
      <c r="P391" t="s">
        <v>1341</v>
      </c>
      <c r="Q391" s="23">
        <v>46281.463247719905</v>
      </c>
      <c r="R391" s="32">
        <f>IF(OR(tbl_de_massas[[#This Row],[dia_vencimento]]="", tbl_de_massas[[#This Row],[dia_vencimento]]="--"), "", WORKDAY(tbl_de_massas[[#This Row],[dia_vencimento]], 5))</f>
        <v>17</v>
      </c>
    </row>
    <row r="392" spans="1:18" x14ac:dyDescent="0.25">
      <c r="A392" t="s">
        <v>3206</v>
      </c>
      <c r="B392" t="s">
        <v>3207</v>
      </c>
      <c r="C392" s="32" t="s">
        <v>605</v>
      </c>
      <c r="D392" t="s">
        <v>3208</v>
      </c>
      <c r="E392" s="54">
        <v>2597.8200000000002</v>
      </c>
      <c r="F392" s="54">
        <v>802.15</v>
      </c>
      <c r="G392" s="54">
        <v>3122.18</v>
      </c>
      <c r="H392" s="54">
        <v>0</v>
      </c>
      <c r="I392" t="s">
        <v>2881</v>
      </c>
      <c r="J392" s="31">
        <v>802.15</v>
      </c>
      <c r="K392" s="36" t="s">
        <v>1306</v>
      </c>
      <c r="L392" t="s">
        <v>2504</v>
      </c>
      <c r="M392" t="s">
        <v>3209</v>
      </c>
      <c r="N392" t="s">
        <v>1341</v>
      </c>
      <c r="O392" t="s">
        <v>67</v>
      </c>
      <c r="Q392" s="23">
        <v>46281.463249502318</v>
      </c>
      <c r="R392" s="32">
        <f>IF(OR(tbl_de_massas[[#This Row],[dia_vencimento]]="", tbl_de_massas[[#This Row],[dia_vencimento]]="--"), "", WORKDAY(tbl_de_massas[[#This Row],[dia_vencimento]], 5))</f>
        <v>17</v>
      </c>
    </row>
    <row r="393" spans="1:18" x14ac:dyDescent="0.25">
      <c r="A393" t="s">
        <v>3210</v>
      </c>
      <c r="B393" t="s">
        <v>3211</v>
      </c>
      <c r="C393" s="32" t="s">
        <v>605</v>
      </c>
      <c r="D393" t="s">
        <v>3212</v>
      </c>
      <c r="E393" s="54">
        <v>6718.73</v>
      </c>
      <c r="F393" s="54">
        <v>828.95</v>
      </c>
      <c r="G393" s="54">
        <v>6025.07</v>
      </c>
      <c r="H393" s="54">
        <v>0</v>
      </c>
      <c r="I393" t="s">
        <v>2881</v>
      </c>
      <c r="J393" s="31">
        <v>828.95</v>
      </c>
      <c r="K393" s="36" t="s">
        <v>1306</v>
      </c>
      <c r="L393" t="s">
        <v>2504</v>
      </c>
      <c r="M393" t="s">
        <v>3213</v>
      </c>
      <c r="N393" t="s">
        <v>1341</v>
      </c>
      <c r="O393" t="s">
        <v>67</v>
      </c>
      <c r="Q393" s="23">
        <v>46281.463251168978</v>
      </c>
      <c r="R393" s="32">
        <f>IF(OR(tbl_de_massas[[#This Row],[dia_vencimento]]="", tbl_de_massas[[#This Row],[dia_vencimento]]="--"), "", WORKDAY(tbl_de_massas[[#This Row],[dia_vencimento]], 5))</f>
        <v>17</v>
      </c>
    </row>
    <row r="394" spans="1:18" x14ac:dyDescent="0.25">
      <c r="A394" t="s">
        <v>3214</v>
      </c>
      <c r="B394" t="s">
        <v>3215</v>
      </c>
      <c r="C394" s="32" t="s">
        <v>607</v>
      </c>
      <c r="D394" t="s">
        <v>3216</v>
      </c>
      <c r="E394" s="54">
        <v>945.16</v>
      </c>
      <c r="F394" s="54">
        <v>5092.7</v>
      </c>
      <c r="G394" s="54">
        <v>361.28</v>
      </c>
      <c r="H394" s="54">
        <v>3870.86</v>
      </c>
      <c r="I394" t="s">
        <v>2877</v>
      </c>
      <c r="J394" s="31">
        <v>5092.7</v>
      </c>
      <c r="K394" s="36" t="s">
        <v>2675</v>
      </c>
      <c r="L394" t="s">
        <v>2502</v>
      </c>
      <c r="M394" t="s">
        <v>3217</v>
      </c>
      <c r="N394" t="s">
        <v>1341</v>
      </c>
      <c r="O394" t="s">
        <v>3218</v>
      </c>
      <c r="P394" t="s">
        <v>1341</v>
      </c>
      <c r="Q394" s="23">
        <v>46281.46325267361</v>
      </c>
      <c r="R394" s="32">
        <f>IF(OR(tbl_de_massas[[#This Row],[dia_vencimento]]="", tbl_de_massas[[#This Row],[dia_vencimento]]="--"), "", WORKDAY(tbl_de_massas[[#This Row],[dia_vencimento]], 5))</f>
        <v>20</v>
      </c>
    </row>
    <row r="395" spans="1:18" x14ac:dyDescent="0.25">
      <c r="A395" t="s">
        <v>3219</v>
      </c>
      <c r="B395" t="s">
        <v>3220</v>
      </c>
      <c r="C395" s="32" t="s">
        <v>611</v>
      </c>
      <c r="D395" t="s">
        <v>3221</v>
      </c>
      <c r="E395" s="54">
        <v>3098.96</v>
      </c>
      <c r="F395" s="54">
        <v>4891.99</v>
      </c>
      <c r="G395" s="54">
        <v>10406.040000000001</v>
      </c>
      <c r="H395" s="54">
        <v>3870.86</v>
      </c>
      <c r="I395" t="s">
        <v>2877</v>
      </c>
      <c r="J395" s="31">
        <v>4891.99</v>
      </c>
      <c r="K395" s="36" t="s">
        <v>2675</v>
      </c>
      <c r="L395" t="s">
        <v>2502</v>
      </c>
      <c r="M395" t="s">
        <v>3222</v>
      </c>
      <c r="N395" t="s">
        <v>1345</v>
      </c>
      <c r="O395" t="s">
        <v>3223</v>
      </c>
      <c r="P395" t="s">
        <v>1345</v>
      </c>
      <c r="Q395" s="23">
        <v>46281.463254675924</v>
      </c>
      <c r="R395" s="32">
        <f>IF(OR(tbl_de_massas[[#This Row],[dia_vencimento]]="", tbl_de_massas[[#This Row],[dia_vencimento]]="--"), "", WORKDAY(tbl_de_massas[[#This Row],[dia_vencimento]], 5))</f>
        <v>32</v>
      </c>
    </row>
    <row r="396" spans="1:18" x14ac:dyDescent="0.25">
      <c r="A396" t="s">
        <v>3224</v>
      </c>
      <c r="B396" t="s">
        <v>3225</v>
      </c>
      <c r="C396" s="32" t="s">
        <v>608</v>
      </c>
      <c r="D396" t="s">
        <v>3226</v>
      </c>
      <c r="E396" s="54">
        <v>11571.59</v>
      </c>
      <c r="F396" s="54">
        <v>117.61</v>
      </c>
      <c r="G396" s="54">
        <v>19140.8</v>
      </c>
      <c r="H396" s="54">
        <v>0</v>
      </c>
      <c r="I396" t="s">
        <v>2881</v>
      </c>
      <c r="J396" s="31">
        <v>529.21</v>
      </c>
      <c r="K396" s="36" t="s">
        <v>1306</v>
      </c>
      <c r="L396" t="s">
        <v>2504</v>
      </c>
      <c r="M396" t="s">
        <v>3227</v>
      </c>
      <c r="N396" t="s">
        <v>1345</v>
      </c>
      <c r="O396" t="s">
        <v>67</v>
      </c>
      <c r="Q396" s="23">
        <v>46281.463256759256</v>
      </c>
      <c r="R396" s="32">
        <f>IF(OR(tbl_de_massas[[#This Row],[dia_vencimento]]="", tbl_de_massas[[#This Row],[dia_vencimento]]="--"), "", WORKDAY(tbl_de_massas[[#This Row],[dia_vencimento]], 5))</f>
        <v>27</v>
      </c>
    </row>
    <row r="397" spans="1:18" x14ac:dyDescent="0.25">
      <c r="A397" t="s">
        <v>3228</v>
      </c>
      <c r="B397" t="s">
        <v>3229</v>
      </c>
      <c r="C397" s="32" t="s">
        <v>608</v>
      </c>
      <c r="D397" t="s">
        <v>3230</v>
      </c>
      <c r="E397" s="54">
        <v>11412.8</v>
      </c>
      <c r="F397" s="54">
        <v>5084.8999999999996</v>
      </c>
      <c r="G397" s="54">
        <v>236.3</v>
      </c>
      <c r="H397" s="54">
        <v>3870.86</v>
      </c>
      <c r="I397" t="s">
        <v>2877</v>
      </c>
      <c r="J397" s="31">
        <v>5084.8999999999996</v>
      </c>
      <c r="K397" s="36" t="s">
        <v>2675</v>
      </c>
      <c r="L397" t="s">
        <v>2502</v>
      </c>
      <c r="M397" t="s">
        <v>3231</v>
      </c>
      <c r="N397" t="s">
        <v>1345</v>
      </c>
      <c r="O397" t="s">
        <v>3232</v>
      </c>
      <c r="P397" t="s">
        <v>1345</v>
      </c>
      <c r="Q397" s="23">
        <v>46281.463258379626</v>
      </c>
      <c r="R397" s="32">
        <f>IF(OR(tbl_de_massas[[#This Row],[dia_vencimento]]="", tbl_de_massas[[#This Row],[dia_vencimento]]="--"), "", WORKDAY(tbl_de_massas[[#This Row],[dia_vencimento]], 5))</f>
        <v>27</v>
      </c>
    </row>
    <row r="398" spans="1:18" x14ac:dyDescent="0.25">
      <c r="A398" t="s">
        <v>3233</v>
      </c>
      <c r="B398" t="s">
        <v>3234</v>
      </c>
      <c r="C398" s="32" t="s">
        <v>608</v>
      </c>
      <c r="D398" t="s">
        <v>3235</v>
      </c>
      <c r="E398" s="54">
        <v>8535</v>
      </c>
      <c r="F398" s="54">
        <v>221.39</v>
      </c>
      <c r="G398" s="54">
        <v>11779.8</v>
      </c>
      <c r="H398" s="54">
        <v>0</v>
      </c>
      <c r="I398" t="s">
        <v>2881</v>
      </c>
      <c r="J398" s="31">
        <v>664.16</v>
      </c>
      <c r="K398" s="36" t="s">
        <v>1306</v>
      </c>
      <c r="L398" t="s">
        <v>2504</v>
      </c>
      <c r="M398" t="s">
        <v>3236</v>
      </c>
      <c r="N398" t="s">
        <v>1341</v>
      </c>
      <c r="O398" t="s">
        <v>67</v>
      </c>
      <c r="Q398" s="23">
        <v>46281.463260231481</v>
      </c>
      <c r="R398" s="32">
        <f>IF(OR(tbl_de_massas[[#This Row],[dia_vencimento]]="", tbl_de_massas[[#This Row],[dia_vencimento]]="--"), "", WORKDAY(tbl_de_massas[[#This Row],[dia_vencimento]], 5))</f>
        <v>27</v>
      </c>
    </row>
    <row r="399" spans="1:18" x14ac:dyDescent="0.25">
      <c r="A399" t="s">
        <v>3237</v>
      </c>
      <c r="B399" t="s">
        <v>3238</v>
      </c>
      <c r="C399" s="32" t="s">
        <v>605</v>
      </c>
      <c r="D399" t="s">
        <v>3239</v>
      </c>
      <c r="E399" s="54">
        <v>14057.58</v>
      </c>
      <c r="F399" s="54">
        <v>4974.62</v>
      </c>
      <c r="G399" s="54">
        <v>-520.89</v>
      </c>
      <c r="H399" s="54">
        <v>3870.86</v>
      </c>
      <c r="I399" t="s">
        <v>2877</v>
      </c>
      <c r="J399" s="31">
        <v>4974.62</v>
      </c>
      <c r="K399" s="36" t="s">
        <v>2675</v>
      </c>
      <c r="L399" t="s">
        <v>2502</v>
      </c>
      <c r="M399" t="s">
        <v>3240</v>
      </c>
      <c r="N399" t="s">
        <v>1341</v>
      </c>
      <c r="O399" t="s">
        <v>3241</v>
      </c>
      <c r="P399" t="s">
        <v>1341</v>
      </c>
      <c r="Q399" s="23">
        <v>46281.463261759258</v>
      </c>
      <c r="R399" s="32">
        <f>IF(OR(tbl_de_massas[[#This Row],[dia_vencimento]]="", tbl_de_massas[[#This Row],[dia_vencimento]]="--"), "", WORKDAY(tbl_de_massas[[#This Row],[dia_vencimento]], 5))</f>
        <v>17</v>
      </c>
    </row>
    <row r="400" spans="1:18" x14ac:dyDescent="0.25">
      <c r="A400" t="s">
        <v>3242</v>
      </c>
      <c r="B400" t="s">
        <v>3243</v>
      </c>
      <c r="C400" s="32" t="s">
        <v>608</v>
      </c>
      <c r="D400" t="s">
        <v>3244</v>
      </c>
      <c r="E400" s="54">
        <v>1558.41</v>
      </c>
      <c r="F400" s="54">
        <v>0</v>
      </c>
      <c r="G400" s="54">
        <v>9232.0499999999993</v>
      </c>
      <c r="H400" s="54">
        <v>0</v>
      </c>
      <c r="I400" t="s">
        <v>2881</v>
      </c>
      <c r="J400" s="31">
        <v>782.27</v>
      </c>
      <c r="K400" s="36" t="s">
        <v>1306</v>
      </c>
      <c r="L400" t="s">
        <v>2504</v>
      </c>
      <c r="M400" t="s">
        <v>3245</v>
      </c>
      <c r="N400" t="s">
        <v>1341</v>
      </c>
      <c r="O400" t="s">
        <v>3246</v>
      </c>
      <c r="P400" t="s">
        <v>1341</v>
      </c>
      <c r="Q400" s="23">
        <v>46281.463263703707</v>
      </c>
      <c r="R400" s="32">
        <f>IF(OR(tbl_de_massas[[#This Row],[dia_vencimento]]="", tbl_de_massas[[#This Row],[dia_vencimento]]="--"), "", WORKDAY(tbl_de_massas[[#This Row],[dia_vencimento]], 5))</f>
        <v>27</v>
      </c>
    </row>
    <row r="401" spans="1:18" x14ac:dyDescent="0.25">
      <c r="A401" t="s">
        <v>3247</v>
      </c>
      <c r="B401" t="s">
        <v>3248</v>
      </c>
      <c r="C401" s="32" t="s">
        <v>605</v>
      </c>
      <c r="D401" t="s">
        <v>3249</v>
      </c>
      <c r="E401" s="54">
        <v>2062.94</v>
      </c>
      <c r="F401" s="54">
        <v>5067.1499999999996</v>
      </c>
      <c r="G401" s="54">
        <v>9564.91</v>
      </c>
      <c r="H401" s="54">
        <v>3870.86</v>
      </c>
      <c r="I401" t="s">
        <v>2877</v>
      </c>
      <c r="J401" s="31">
        <v>5067.1499999999996</v>
      </c>
      <c r="K401" s="36" t="s">
        <v>2675</v>
      </c>
      <c r="L401" t="s">
        <v>2502</v>
      </c>
      <c r="M401" t="s">
        <v>3250</v>
      </c>
      <c r="N401" t="s">
        <v>1341</v>
      </c>
      <c r="O401" t="s">
        <v>67</v>
      </c>
      <c r="Q401" s="23">
        <v>46281.463265289349</v>
      </c>
      <c r="R401" s="32">
        <f>IF(OR(tbl_de_massas[[#This Row],[dia_vencimento]]="", tbl_de_massas[[#This Row],[dia_vencimento]]="--"), "", WORKDAY(tbl_de_massas[[#This Row],[dia_vencimento]], 5))</f>
        <v>17</v>
      </c>
    </row>
    <row r="402" spans="1:18" x14ac:dyDescent="0.25">
      <c r="A402" t="s">
        <v>3251</v>
      </c>
      <c r="B402" t="s">
        <v>3252</v>
      </c>
      <c r="C402" s="32" t="s">
        <v>608</v>
      </c>
      <c r="D402" t="s">
        <v>3253</v>
      </c>
      <c r="E402" s="54">
        <v>6199.36</v>
      </c>
      <c r="F402" s="54">
        <v>4692.63</v>
      </c>
      <c r="G402" s="54">
        <v>16559.07</v>
      </c>
      <c r="H402" s="54">
        <v>3870.86</v>
      </c>
      <c r="I402" t="s">
        <v>2877</v>
      </c>
      <c r="J402" s="31">
        <v>4692.63</v>
      </c>
      <c r="K402" s="36" t="s">
        <v>2675</v>
      </c>
      <c r="L402" t="s">
        <v>2502</v>
      </c>
      <c r="M402" t="s">
        <v>3254</v>
      </c>
      <c r="N402" t="s">
        <v>1341</v>
      </c>
      <c r="O402" t="s">
        <v>3255</v>
      </c>
      <c r="P402" t="s">
        <v>1341</v>
      </c>
      <c r="Q402" s="23">
        <v>46281.463267187501</v>
      </c>
      <c r="R402" s="32">
        <f>IF(OR(tbl_de_massas[[#This Row],[dia_vencimento]]="", tbl_de_massas[[#This Row],[dia_vencimento]]="--"), "", WORKDAY(tbl_de_massas[[#This Row],[dia_vencimento]], 5))</f>
        <v>27</v>
      </c>
    </row>
    <row r="403" spans="1:18" x14ac:dyDescent="0.25">
      <c r="A403" t="s">
        <v>3256</v>
      </c>
      <c r="B403" t="s">
        <v>3257</v>
      </c>
      <c r="C403" s="32" t="s">
        <v>607</v>
      </c>
      <c r="D403" t="s">
        <v>3258</v>
      </c>
      <c r="E403" s="54">
        <v>4198.1099999999997</v>
      </c>
      <c r="F403" s="54">
        <v>665.32</v>
      </c>
      <c r="G403" s="54">
        <v>1473.23</v>
      </c>
      <c r="H403" s="54">
        <v>0</v>
      </c>
      <c r="I403" t="s">
        <v>2881</v>
      </c>
      <c r="J403" s="31">
        <v>665.32</v>
      </c>
      <c r="K403" s="36" t="s">
        <v>1306</v>
      </c>
      <c r="L403" t="s">
        <v>2504</v>
      </c>
      <c r="M403" t="s">
        <v>3259</v>
      </c>
      <c r="N403" t="s">
        <v>1341</v>
      </c>
      <c r="O403" t="s">
        <v>3260</v>
      </c>
      <c r="P403" t="s">
        <v>1341</v>
      </c>
      <c r="Q403" s="23">
        <v>46281.463269479165</v>
      </c>
      <c r="R403" s="32">
        <f>IF(OR(tbl_de_massas[[#This Row],[dia_vencimento]]="", tbl_de_massas[[#This Row],[dia_vencimento]]="--"), "", WORKDAY(tbl_de_massas[[#This Row],[dia_vencimento]], 5))</f>
        <v>20</v>
      </c>
    </row>
    <row r="404" spans="1:18" x14ac:dyDescent="0.25">
      <c r="A404" t="s">
        <v>3261</v>
      </c>
      <c r="B404" t="s">
        <v>3262</v>
      </c>
      <c r="C404" s="32" t="s">
        <v>5827</v>
      </c>
      <c r="D404" t="s">
        <v>3263</v>
      </c>
      <c r="E404" s="54">
        <v>7410.75</v>
      </c>
      <c r="F404" s="54">
        <v>4802.68</v>
      </c>
      <c r="G404" s="54">
        <v>7092.8</v>
      </c>
      <c r="H404" s="54">
        <v>3870.86</v>
      </c>
      <c r="I404" t="s">
        <v>2877</v>
      </c>
      <c r="J404" s="31">
        <v>4802.68</v>
      </c>
      <c r="K404" s="36" t="s">
        <v>2675</v>
      </c>
      <c r="L404" t="s">
        <v>2502</v>
      </c>
      <c r="M404" t="s">
        <v>3264</v>
      </c>
      <c r="N404" t="s">
        <v>1345</v>
      </c>
      <c r="O404" t="s">
        <v>67</v>
      </c>
      <c r="Q404" s="23">
        <v>46281.463271111112</v>
      </c>
      <c r="R404" s="32">
        <f>IF(OR(tbl_de_massas[[#This Row],[dia_vencimento]]="", tbl_de_massas[[#This Row],[dia_vencimento]]="--"), "", WORKDAY(tbl_de_massas[[#This Row],[dia_vencimento]], 5))</f>
        <v>12</v>
      </c>
    </row>
    <row r="405" spans="1:18" x14ac:dyDescent="0.25">
      <c r="A405" t="s">
        <v>3265</v>
      </c>
      <c r="B405" t="s">
        <v>3266</v>
      </c>
      <c r="C405" s="32" t="s">
        <v>605</v>
      </c>
      <c r="D405" t="s">
        <v>3267</v>
      </c>
      <c r="E405" s="54">
        <v>3028.07</v>
      </c>
      <c r="F405" s="54">
        <v>840.74</v>
      </c>
      <c r="G405" s="54">
        <v>3749.64</v>
      </c>
      <c r="H405" s="54">
        <v>0</v>
      </c>
      <c r="I405" t="s">
        <v>2881</v>
      </c>
      <c r="J405" s="31">
        <v>840.74</v>
      </c>
      <c r="K405" s="36" t="s">
        <v>1306</v>
      </c>
      <c r="L405" t="s">
        <v>2504</v>
      </c>
      <c r="M405" t="s">
        <v>3268</v>
      </c>
      <c r="N405" t="s">
        <v>1341</v>
      </c>
      <c r="O405" t="s">
        <v>67</v>
      </c>
      <c r="Q405" s="23">
        <v>46281.463272997687</v>
      </c>
      <c r="R405" s="32">
        <f>IF(OR(tbl_de_massas[[#This Row],[dia_vencimento]]="", tbl_de_massas[[#This Row],[dia_vencimento]]="--"), "", WORKDAY(tbl_de_massas[[#This Row],[dia_vencimento]], 5))</f>
        <v>17</v>
      </c>
    </row>
    <row r="406" spans="1:18" x14ac:dyDescent="0.25">
      <c r="A406" t="s">
        <v>3269</v>
      </c>
      <c r="B406" t="s">
        <v>3270</v>
      </c>
      <c r="C406" s="32" t="s">
        <v>607</v>
      </c>
      <c r="D406" t="s">
        <v>3271</v>
      </c>
      <c r="E406" s="54">
        <v>11318.34</v>
      </c>
      <c r="F406" s="54">
        <v>4854.55</v>
      </c>
      <c r="G406" s="54">
        <v>14514.33</v>
      </c>
      <c r="H406" s="54">
        <v>3870.86</v>
      </c>
      <c r="I406" t="s">
        <v>2877</v>
      </c>
      <c r="J406" s="31">
        <v>4854.55</v>
      </c>
      <c r="K406" s="36" t="s">
        <v>2675</v>
      </c>
      <c r="L406" t="s">
        <v>2502</v>
      </c>
      <c r="M406" t="s">
        <v>3272</v>
      </c>
      <c r="N406" t="s">
        <v>1341</v>
      </c>
      <c r="O406" t="s">
        <v>3273</v>
      </c>
      <c r="P406" t="s">
        <v>1341</v>
      </c>
      <c r="Q406" s="23">
        <v>46281.464882916669</v>
      </c>
      <c r="R406" s="32">
        <f>IF(OR(tbl_de_massas[[#This Row],[dia_vencimento]]="", tbl_de_massas[[#This Row],[dia_vencimento]]="--"), "", WORKDAY(tbl_de_massas[[#This Row],[dia_vencimento]], 5))</f>
        <v>20</v>
      </c>
    </row>
    <row r="407" spans="1:18" x14ac:dyDescent="0.25">
      <c r="A407" t="s">
        <v>3274</v>
      </c>
      <c r="B407" t="s">
        <v>3275</v>
      </c>
      <c r="C407" s="32" t="s">
        <v>5827</v>
      </c>
      <c r="D407" t="s">
        <v>504</v>
      </c>
      <c r="E407" s="54">
        <v>1280.1600000000001</v>
      </c>
      <c r="F407" s="54">
        <v>5099.3100000000004</v>
      </c>
      <c r="G407" s="54">
        <v>10165.83</v>
      </c>
      <c r="H407" s="54">
        <v>3870.86</v>
      </c>
      <c r="I407" t="s">
        <v>2877</v>
      </c>
      <c r="J407" s="31">
        <v>5099.3100000000004</v>
      </c>
      <c r="K407" s="36" t="s">
        <v>2675</v>
      </c>
      <c r="L407" t="s">
        <v>2502</v>
      </c>
      <c r="M407" t="s">
        <v>3276</v>
      </c>
      <c r="N407" t="s">
        <v>1341</v>
      </c>
      <c r="O407" t="s">
        <v>67</v>
      </c>
      <c r="Q407" s="23">
        <v>46281.464885729169</v>
      </c>
      <c r="R407" s="32">
        <f>IF(OR(tbl_de_massas[[#This Row],[dia_vencimento]]="", tbl_de_massas[[#This Row],[dia_vencimento]]="--"), "", WORKDAY(tbl_de_massas[[#This Row],[dia_vencimento]], 5))</f>
        <v>12</v>
      </c>
    </row>
    <row r="408" spans="1:18" x14ac:dyDescent="0.25">
      <c r="A408" t="s">
        <v>3277</v>
      </c>
      <c r="B408" t="s">
        <v>3278</v>
      </c>
      <c r="C408" s="32" t="s">
        <v>611</v>
      </c>
      <c r="D408" t="s">
        <v>3279</v>
      </c>
      <c r="E408" s="54">
        <v>4520.1000000000004</v>
      </c>
      <c r="F408" s="54">
        <v>4614.54</v>
      </c>
      <c r="G408" s="54">
        <v>8268.17</v>
      </c>
      <c r="H408" s="54">
        <v>3870.86</v>
      </c>
      <c r="I408" t="s">
        <v>2877</v>
      </c>
      <c r="J408" s="31">
        <v>4614.54</v>
      </c>
      <c r="K408" s="36" t="s">
        <v>2675</v>
      </c>
      <c r="L408" t="s">
        <v>2502</v>
      </c>
      <c r="M408" t="s">
        <v>3280</v>
      </c>
      <c r="N408" t="s">
        <v>1341</v>
      </c>
      <c r="O408" t="s">
        <v>67</v>
      </c>
      <c r="Q408" s="23">
        <v>46281.464888356481</v>
      </c>
      <c r="R408" s="32">
        <f>IF(OR(tbl_de_massas[[#This Row],[dia_vencimento]]="", tbl_de_massas[[#This Row],[dia_vencimento]]="--"), "", WORKDAY(tbl_de_massas[[#This Row],[dia_vencimento]], 5))</f>
        <v>32</v>
      </c>
    </row>
    <row r="409" spans="1:18" x14ac:dyDescent="0.25">
      <c r="A409" t="s">
        <v>3281</v>
      </c>
      <c r="B409" t="s">
        <v>3282</v>
      </c>
      <c r="C409" s="32" t="s">
        <v>5827</v>
      </c>
      <c r="D409" t="s">
        <v>3283</v>
      </c>
      <c r="E409" s="54">
        <v>14796.29</v>
      </c>
      <c r="F409" s="54">
        <v>430.12</v>
      </c>
      <c r="G409" s="54">
        <v>9040.0300000000007</v>
      </c>
      <c r="H409" s="54">
        <v>0</v>
      </c>
      <c r="I409" t="s">
        <v>2881</v>
      </c>
      <c r="J409" s="31">
        <v>430.12</v>
      </c>
      <c r="K409" s="36" t="s">
        <v>1306</v>
      </c>
      <c r="L409" t="s">
        <v>2504</v>
      </c>
      <c r="M409" t="s">
        <v>3284</v>
      </c>
      <c r="N409" t="s">
        <v>1341</v>
      </c>
      <c r="O409" t="s">
        <v>67</v>
      </c>
      <c r="Q409" s="23">
        <v>46281.464890821757</v>
      </c>
      <c r="R409" s="32">
        <f>IF(OR(tbl_de_massas[[#This Row],[dia_vencimento]]="", tbl_de_massas[[#This Row],[dia_vencimento]]="--"), "", WORKDAY(tbl_de_massas[[#This Row],[dia_vencimento]], 5))</f>
        <v>12</v>
      </c>
    </row>
    <row r="410" spans="1:18" x14ac:dyDescent="0.25">
      <c r="A410" t="s">
        <v>3285</v>
      </c>
      <c r="B410" t="s">
        <v>3286</v>
      </c>
      <c r="C410" s="32" t="s">
        <v>605</v>
      </c>
      <c r="D410" t="s">
        <v>3287</v>
      </c>
      <c r="E410" s="54">
        <v>7922.97</v>
      </c>
      <c r="F410" s="54">
        <v>904.8</v>
      </c>
      <c r="G410" s="54">
        <v>9340.32</v>
      </c>
      <c r="H410" s="54">
        <v>0</v>
      </c>
      <c r="I410" t="s">
        <v>2881</v>
      </c>
      <c r="J410" s="31">
        <v>904.8</v>
      </c>
      <c r="K410" s="36" t="s">
        <v>1306</v>
      </c>
      <c r="L410" t="s">
        <v>2504</v>
      </c>
      <c r="M410" t="s">
        <v>3288</v>
      </c>
      <c r="N410" t="s">
        <v>1341</v>
      </c>
      <c r="O410" t="s">
        <v>3289</v>
      </c>
      <c r="P410" t="s">
        <v>1341</v>
      </c>
      <c r="Q410" s="23">
        <v>46281.46489289352</v>
      </c>
      <c r="R410" s="32">
        <f>IF(OR(tbl_de_massas[[#This Row],[dia_vencimento]]="", tbl_de_massas[[#This Row],[dia_vencimento]]="--"), "", WORKDAY(tbl_de_massas[[#This Row],[dia_vencimento]], 5))</f>
        <v>17</v>
      </c>
    </row>
    <row r="411" spans="1:18" x14ac:dyDescent="0.25">
      <c r="A411" t="s">
        <v>3290</v>
      </c>
      <c r="B411" t="s">
        <v>3291</v>
      </c>
      <c r="C411" s="32" t="s">
        <v>611</v>
      </c>
      <c r="D411" t="s">
        <v>3292</v>
      </c>
      <c r="E411" s="54">
        <v>13384.01</v>
      </c>
      <c r="F411" s="54">
        <v>0</v>
      </c>
      <c r="G411" s="54">
        <v>17232</v>
      </c>
      <c r="H411" s="54">
        <v>0</v>
      </c>
      <c r="I411" t="s">
        <v>2881</v>
      </c>
      <c r="J411" s="31">
        <v>909.98</v>
      </c>
      <c r="K411" s="36" t="s">
        <v>1306</v>
      </c>
      <c r="L411" t="s">
        <v>2504</v>
      </c>
      <c r="M411" t="s">
        <v>3293</v>
      </c>
      <c r="N411" t="s">
        <v>1341</v>
      </c>
      <c r="O411" t="s">
        <v>67</v>
      </c>
      <c r="Q411" s="23">
        <v>46281.464895173609</v>
      </c>
      <c r="R411" s="32">
        <f>IF(OR(tbl_de_massas[[#This Row],[dia_vencimento]]="", tbl_de_massas[[#This Row],[dia_vencimento]]="--"), "", WORKDAY(tbl_de_massas[[#This Row],[dia_vencimento]], 5))</f>
        <v>32</v>
      </c>
    </row>
    <row r="412" spans="1:18" x14ac:dyDescent="0.25">
      <c r="A412" t="s">
        <v>3294</v>
      </c>
      <c r="B412" t="s">
        <v>3295</v>
      </c>
      <c r="C412" s="32" t="s">
        <v>605</v>
      </c>
      <c r="D412" t="s">
        <v>3296</v>
      </c>
      <c r="E412" s="54">
        <v>5916.31</v>
      </c>
      <c r="F412" s="54">
        <v>4733.55</v>
      </c>
      <c r="G412" s="54">
        <v>11961.37</v>
      </c>
      <c r="H412" s="54">
        <v>3870.86</v>
      </c>
      <c r="I412" t="s">
        <v>2877</v>
      </c>
      <c r="J412" s="31">
        <v>4733.55</v>
      </c>
      <c r="K412" s="36" t="s">
        <v>2675</v>
      </c>
      <c r="L412" t="s">
        <v>2502</v>
      </c>
      <c r="M412" t="s">
        <v>3297</v>
      </c>
      <c r="N412" t="s">
        <v>1341</v>
      </c>
      <c r="O412" t="s">
        <v>3298</v>
      </c>
      <c r="P412" t="s">
        <v>1341</v>
      </c>
      <c r="Q412" s="23">
        <v>46281.464897569444</v>
      </c>
      <c r="R412" s="32">
        <f>IF(OR(tbl_de_massas[[#This Row],[dia_vencimento]]="", tbl_de_massas[[#This Row],[dia_vencimento]]="--"), "", WORKDAY(tbl_de_massas[[#This Row],[dia_vencimento]], 5))</f>
        <v>17</v>
      </c>
    </row>
    <row r="413" spans="1:18" x14ac:dyDescent="0.25">
      <c r="A413" t="s">
        <v>3299</v>
      </c>
      <c r="B413" t="s">
        <v>3300</v>
      </c>
      <c r="C413" s="32" t="s">
        <v>608</v>
      </c>
      <c r="D413" t="s">
        <v>3301</v>
      </c>
      <c r="E413" s="54">
        <v>13834.3</v>
      </c>
      <c r="F413" s="54">
        <v>4719.28</v>
      </c>
      <c r="G413" s="54">
        <v>7102.24</v>
      </c>
      <c r="H413" s="54">
        <v>3870.86</v>
      </c>
      <c r="I413" t="s">
        <v>2877</v>
      </c>
      <c r="J413" s="31">
        <v>4719.28</v>
      </c>
      <c r="K413" s="36" t="s">
        <v>2675</v>
      </c>
      <c r="L413" t="s">
        <v>2502</v>
      </c>
      <c r="M413" t="s">
        <v>67</v>
      </c>
      <c r="O413" t="s">
        <v>3302</v>
      </c>
      <c r="P413" t="s">
        <v>1341</v>
      </c>
      <c r="Q413" s="23">
        <v>46281.464900694446</v>
      </c>
      <c r="R413" s="32">
        <f>IF(OR(tbl_de_massas[[#This Row],[dia_vencimento]]="", tbl_de_massas[[#This Row],[dia_vencimento]]="--"), "", WORKDAY(tbl_de_massas[[#This Row],[dia_vencimento]], 5))</f>
        <v>27</v>
      </c>
    </row>
    <row r="414" spans="1:18" x14ac:dyDescent="0.25">
      <c r="A414" t="s">
        <v>3303</v>
      </c>
      <c r="B414" t="s">
        <v>3304</v>
      </c>
      <c r="C414" s="32" t="s">
        <v>605</v>
      </c>
      <c r="D414" t="s">
        <v>3305</v>
      </c>
      <c r="E414" s="54">
        <v>4715.1000000000004</v>
      </c>
      <c r="F414" s="54">
        <v>461.38</v>
      </c>
      <c r="G414" s="54">
        <v>14351.43</v>
      </c>
      <c r="H414" s="54">
        <v>0</v>
      </c>
      <c r="I414" t="s">
        <v>2881</v>
      </c>
      <c r="J414" s="31">
        <v>461.38</v>
      </c>
      <c r="K414" s="36" t="s">
        <v>1306</v>
      </c>
      <c r="L414" t="s">
        <v>2504</v>
      </c>
      <c r="M414" t="s">
        <v>67</v>
      </c>
      <c r="O414" t="s">
        <v>3306</v>
      </c>
      <c r="P414" t="s">
        <v>1341</v>
      </c>
      <c r="Q414" s="23">
        <v>46281.464903182874</v>
      </c>
      <c r="R414" s="32">
        <f>IF(OR(tbl_de_massas[[#This Row],[dia_vencimento]]="", tbl_de_massas[[#This Row],[dia_vencimento]]="--"), "", WORKDAY(tbl_de_massas[[#This Row],[dia_vencimento]], 5))</f>
        <v>17</v>
      </c>
    </row>
    <row r="415" spans="1:18" x14ac:dyDescent="0.25">
      <c r="A415" t="s">
        <v>3307</v>
      </c>
      <c r="B415" t="s">
        <v>3308</v>
      </c>
      <c r="C415" s="32" t="s">
        <v>607</v>
      </c>
      <c r="D415" t="s">
        <v>3309</v>
      </c>
      <c r="E415" s="54">
        <v>13693.4</v>
      </c>
      <c r="F415" s="54">
        <v>0</v>
      </c>
      <c r="G415" s="54">
        <v>15198.86</v>
      </c>
      <c r="H415" s="54">
        <v>0</v>
      </c>
      <c r="I415" t="s">
        <v>2881</v>
      </c>
      <c r="J415" s="31">
        <v>433.45</v>
      </c>
      <c r="K415" s="36" t="s">
        <v>1306</v>
      </c>
      <c r="L415" t="s">
        <v>2504</v>
      </c>
      <c r="M415" t="s">
        <v>3310</v>
      </c>
      <c r="N415" t="s">
        <v>1341</v>
      </c>
      <c r="O415" t="s">
        <v>3311</v>
      </c>
      <c r="P415" t="s">
        <v>1341</v>
      </c>
      <c r="Q415" s="23">
        <v>46281.464905358793</v>
      </c>
      <c r="R415" s="32">
        <f>IF(OR(tbl_de_massas[[#This Row],[dia_vencimento]]="", tbl_de_massas[[#This Row],[dia_vencimento]]="--"), "", WORKDAY(tbl_de_massas[[#This Row],[dia_vencimento]], 5))</f>
        <v>20</v>
      </c>
    </row>
    <row r="416" spans="1:18" x14ac:dyDescent="0.25">
      <c r="A416" t="s">
        <v>3312</v>
      </c>
      <c r="B416" t="s">
        <v>3313</v>
      </c>
      <c r="C416" s="32" t="s">
        <v>605</v>
      </c>
      <c r="D416" t="s">
        <v>3314</v>
      </c>
      <c r="E416" s="54">
        <v>9595.0300000000007</v>
      </c>
      <c r="F416" s="54">
        <v>5072.26</v>
      </c>
      <c r="G416" s="54">
        <v>6989.68</v>
      </c>
      <c r="H416" s="54">
        <v>3870.86</v>
      </c>
      <c r="I416" t="s">
        <v>2877</v>
      </c>
      <c r="J416" s="31">
        <v>5072.26</v>
      </c>
      <c r="K416" s="36" t="s">
        <v>2675</v>
      </c>
      <c r="L416" t="s">
        <v>2502</v>
      </c>
      <c r="M416" t="s">
        <v>3315</v>
      </c>
      <c r="N416" t="s">
        <v>1341</v>
      </c>
      <c r="O416" t="s">
        <v>3316</v>
      </c>
      <c r="P416" t="s">
        <v>1341</v>
      </c>
      <c r="Q416" s="23">
        <v>46281.464907372683</v>
      </c>
      <c r="R416" s="32">
        <f>IF(OR(tbl_de_massas[[#This Row],[dia_vencimento]]="", tbl_de_massas[[#This Row],[dia_vencimento]]="--"), "", WORKDAY(tbl_de_massas[[#This Row],[dia_vencimento]], 5))</f>
        <v>17</v>
      </c>
    </row>
    <row r="417" spans="1:18" x14ac:dyDescent="0.25">
      <c r="A417" t="s">
        <v>3317</v>
      </c>
      <c r="B417" t="s">
        <v>3318</v>
      </c>
      <c r="C417" s="32" t="s">
        <v>607</v>
      </c>
      <c r="D417" t="s">
        <v>3319</v>
      </c>
      <c r="E417" s="54">
        <v>9409.9500000000007</v>
      </c>
      <c r="F417" s="54">
        <v>320.13</v>
      </c>
      <c r="G417" s="54">
        <v>20780.37</v>
      </c>
      <c r="H417" s="54">
        <v>0</v>
      </c>
      <c r="I417" t="s">
        <v>2881</v>
      </c>
      <c r="J417" s="31">
        <v>411.59</v>
      </c>
      <c r="K417" s="36" t="s">
        <v>1306</v>
      </c>
      <c r="L417" t="s">
        <v>2504</v>
      </c>
      <c r="M417" t="s">
        <v>3320</v>
      </c>
      <c r="N417" t="s">
        <v>1341</v>
      </c>
      <c r="O417" t="s">
        <v>67</v>
      </c>
      <c r="Q417" s="23">
        <v>46281.464909814815</v>
      </c>
      <c r="R417" s="32">
        <f>IF(OR(tbl_de_massas[[#This Row],[dia_vencimento]]="", tbl_de_massas[[#This Row],[dia_vencimento]]="--"), "", WORKDAY(tbl_de_massas[[#This Row],[dia_vencimento]], 5))</f>
        <v>20</v>
      </c>
    </row>
    <row r="418" spans="1:18" x14ac:dyDescent="0.25">
      <c r="A418" t="s">
        <v>3321</v>
      </c>
      <c r="B418" t="s">
        <v>3322</v>
      </c>
      <c r="C418" s="32" t="s">
        <v>607</v>
      </c>
      <c r="D418" t="s">
        <v>3323</v>
      </c>
      <c r="E418" s="54">
        <v>6258.92</v>
      </c>
      <c r="F418" s="54">
        <v>4927.91</v>
      </c>
      <c r="G418" s="54">
        <v>9808.01</v>
      </c>
      <c r="H418" s="54">
        <v>3870.86</v>
      </c>
      <c r="I418" t="s">
        <v>2877</v>
      </c>
      <c r="J418" s="31">
        <v>4927.91</v>
      </c>
      <c r="K418" s="36" t="s">
        <v>2675</v>
      </c>
      <c r="L418" t="s">
        <v>2502</v>
      </c>
      <c r="M418" t="s">
        <v>67</v>
      </c>
      <c r="O418" t="s">
        <v>3324</v>
      </c>
      <c r="P418" t="s">
        <v>1345</v>
      </c>
      <c r="Q418" s="23">
        <v>46281.464911736111</v>
      </c>
      <c r="R418" s="32">
        <f>IF(OR(tbl_de_massas[[#This Row],[dia_vencimento]]="", tbl_de_massas[[#This Row],[dia_vencimento]]="--"), "", WORKDAY(tbl_de_massas[[#This Row],[dia_vencimento]], 5))</f>
        <v>20</v>
      </c>
    </row>
    <row r="419" spans="1:18" x14ac:dyDescent="0.25">
      <c r="A419" t="s">
        <v>3325</v>
      </c>
      <c r="B419" t="s">
        <v>3326</v>
      </c>
      <c r="C419" s="32" t="s">
        <v>608</v>
      </c>
      <c r="D419" t="s">
        <v>3327</v>
      </c>
      <c r="E419" s="54">
        <v>7154.59</v>
      </c>
      <c r="F419" s="54">
        <v>0</v>
      </c>
      <c r="G419" s="54">
        <v>11665.99</v>
      </c>
      <c r="H419" s="54">
        <v>0</v>
      </c>
      <c r="I419" t="s">
        <v>2881</v>
      </c>
      <c r="J419" s="31">
        <v>884.2</v>
      </c>
      <c r="K419" s="36" t="s">
        <v>1306</v>
      </c>
      <c r="L419" t="s">
        <v>2504</v>
      </c>
      <c r="M419" t="s">
        <v>67</v>
      </c>
      <c r="O419" t="s">
        <v>3328</v>
      </c>
      <c r="P419" t="s">
        <v>1341</v>
      </c>
      <c r="Q419" s="23">
        <v>46281.464914039352</v>
      </c>
      <c r="R419" s="32">
        <f>IF(OR(tbl_de_massas[[#This Row],[dia_vencimento]]="", tbl_de_massas[[#This Row],[dia_vencimento]]="--"), "", WORKDAY(tbl_de_massas[[#This Row],[dia_vencimento]], 5))</f>
        <v>27</v>
      </c>
    </row>
    <row r="420" spans="1:18" x14ac:dyDescent="0.25">
      <c r="A420" t="s">
        <v>3329</v>
      </c>
      <c r="B420" t="s">
        <v>3330</v>
      </c>
      <c r="C420" s="32" t="s">
        <v>607</v>
      </c>
      <c r="D420" t="s">
        <v>3331</v>
      </c>
      <c r="E420" s="54">
        <v>5474.05</v>
      </c>
      <c r="F420" s="54">
        <v>285.11</v>
      </c>
      <c r="G420" s="54">
        <v>2991.88</v>
      </c>
      <c r="H420" s="54">
        <v>0</v>
      </c>
      <c r="I420" t="s">
        <v>2881</v>
      </c>
      <c r="J420" s="31">
        <v>641.5</v>
      </c>
      <c r="K420" s="36" t="s">
        <v>1306</v>
      </c>
      <c r="L420" t="s">
        <v>2504</v>
      </c>
      <c r="M420" t="s">
        <v>67</v>
      </c>
      <c r="O420" t="s">
        <v>3332</v>
      </c>
      <c r="P420" t="s">
        <v>1341</v>
      </c>
      <c r="Q420" s="23">
        <v>46281.464915798613</v>
      </c>
      <c r="R420" s="32">
        <f>IF(OR(tbl_de_massas[[#This Row],[dia_vencimento]]="", tbl_de_massas[[#This Row],[dia_vencimento]]="--"), "", WORKDAY(tbl_de_massas[[#This Row],[dia_vencimento]], 5))</f>
        <v>20</v>
      </c>
    </row>
    <row r="421" spans="1:18" x14ac:dyDescent="0.25">
      <c r="A421" t="s">
        <v>3333</v>
      </c>
      <c r="B421" t="s">
        <v>3334</v>
      </c>
      <c r="C421" s="32" t="s">
        <v>611</v>
      </c>
      <c r="D421" t="s">
        <v>3335</v>
      </c>
      <c r="E421" s="54">
        <v>4220.92</v>
      </c>
      <c r="F421" s="54">
        <v>4815.68</v>
      </c>
      <c r="G421" s="54">
        <v>1001.56</v>
      </c>
      <c r="H421" s="54">
        <v>3870.86</v>
      </c>
      <c r="I421" t="s">
        <v>2877</v>
      </c>
      <c r="J421" s="31">
        <v>4815.68</v>
      </c>
      <c r="K421" s="36" t="s">
        <v>2675</v>
      </c>
      <c r="L421" t="s">
        <v>2502</v>
      </c>
      <c r="M421" t="s">
        <v>3336</v>
      </c>
      <c r="N421" t="s">
        <v>1341</v>
      </c>
      <c r="O421" t="s">
        <v>3337</v>
      </c>
      <c r="P421" t="s">
        <v>1341</v>
      </c>
      <c r="Q421" s="23">
        <v>46281.464917534722</v>
      </c>
      <c r="R421" s="32">
        <f>IF(OR(tbl_de_massas[[#This Row],[dia_vencimento]]="", tbl_de_massas[[#This Row],[dia_vencimento]]="--"), "", WORKDAY(tbl_de_massas[[#This Row],[dia_vencimento]], 5))</f>
        <v>32</v>
      </c>
    </row>
    <row r="422" spans="1:18" x14ac:dyDescent="0.25">
      <c r="A422" t="s">
        <v>3338</v>
      </c>
      <c r="B422" t="s">
        <v>3339</v>
      </c>
      <c r="C422" s="32" t="s">
        <v>607</v>
      </c>
      <c r="D422" t="s">
        <v>3340</v>
      </c>
      <c r="E422" s="54">
        <v>3893.16</v>
      </c>
      <c r="F422" s="54">
        <v>720.42</v>
      </c>
      <c r="G422" s="54">
        <v>12579.71</v>
      </c>
      <c r="H422" s="54">
        <v>0</v>
      </c>
      <c r="I422" t="s">
        <v>2881</v>
      </c>
      <c r="J422" s="31">
        <v>720.42</v>
      </c>
      <c r="K422" s="36" t="s">
        <v>1306</v>
      </c>
      <c r="L422" t="s">
        <v>2504</v>
      </c>
      <c r="M422" t="s">
        <v>67</v>
      </c>
      <c r="O422" t="s">
        <v>3341</v>
      </c>
      <c r="P422" t="s">
        <v>1341</v>
      </c>
      <c r="Q422" s="23">
        <v>46281.464919814818</v>
      </c>
      <c r="R422" s="32">
        <f>IF(OR(tbl_de_massas[[#This Row],[dia_vencimento]]="", tbl_de_massas[[#This Row],[dia_vencimento]]="--"), "", WORKDAY(tbl_de_massas[[#This Row],[dia_vencimento]], 5))</f>
        <v>20</v>
      </c>
    </row>
    <row r="423" spans="1:18" x14ac:dyDescent="0.25">
      <c r="A423" t="s">
        <v>3342</v>
      </c>
      <c r="B423" t="s">
        <v>3343</v>
      </c>
      <c r="C423" s="32" t="s">
        <v>608</v>
      </c>
      <c r="D423" t="s">
        <v>3344</v>
      </c>
      <c r="E423" s="54">
        <v>10693.9</v>
      </c>
      <c r="F423" s="54">
        <v>0</v>
      </c>
      <c r="G423" s="54">
        <v>10252.81</v>
      </c>
      <c r="H423" s="54">
        <v>0</v>
      </c>
      <c r="I423" t="s">
        <v>2881</v>
      </c>
      <c r="J423" s="31">
        <v>841.66</v>
      </c>
      <c r="K423" s="36" t="s">
        <v>1306</v>
      </c>
      <c r="L423" t="s">
        <v>2504</v>
      </c>
      <c r="M423" t="s">
        <v>67</v>
      </c>
      <c r="O423" t="s">
        <v>3345</v>
      </c>
      <c r="P423" t="s">
        <v>1341</v>
      </c>
      <c r="Q423" s="23">
        <v>46281.464921574072</v>
      </c>
      <c r="R423" s="32">
        <f>IF(OR(tbl_de_massas[[#This Row],[dia_vencimento]]="", tbl_de_massas[[#This Row],[dia_vencimento]]="--"), "", WORKDAY(tbl_de_massas[[#This Row],[dia_vencimento]], 5))</f>
        <v>27</v>
      </c>
    </row>
    <row r="424" spans="1:18" x14ac:dyDescent="0.25">
      <c r="A424" t="s">
        <v>3346</v>
      </c>
      <c r="B424" t="s">
        <v>3347</v>
      </c>
      <c r="C424" s="32" t="s">
        <v>605</v>
      </c>
      <c r="D424" t="s">
        <v>3348</v>
      </c>
      <c r="E424" s="54">
        <v>12064.85</v>
      </c>
      <c r="F424" s="54">
        <v>486.81</v>
      </c>
      <c r="G424" s="54">
        <v>20161.009999999998</v>
      </c>
      <c r="H424" s="54">
        <v>0</v>
      </c>
      <c r="I424" t="s">
        <v>2881</v>
      </c>
      <c r="J424" s="31">
        <v>486.81</v>
      </c>
      <c r="K424" s="36" t="s">
        <v>1306</v>
      </c>
      <c r="L424" t="s">
        <v>2504</v>
      </c>
      <c r="M424" t="s">
        <v>3349</v>
      </c>
      <c r="N424" t="s">
        <v>1345</v>
      </c>
      <c r="O424" t="s">
        <v>3350</v>
      </c>
      <c r="P424" t="s">
        <v>1345</v>
      </c>
      <c r="Q424" s="23">
        <v>46281.464923981483</v>
      </c>
      <c r="R424" s="32">
        <f>IF(OR(tbl_de_massas[[#This Row],[dia_vencimento]]="", tbl_de_massas[[#This Row],[dia_vencimento]]="--"), "", WORKDAY(tbl_de_massas[[#This Row],[dia_vencimento]], 5))</f>
        <v>17</v>
      </c>
    </row>
    <row r="425" spans="1:18" x14ac:dyDescent="0.25">
      <c r="A425" t="s">
        <v>3351</v>
      </c>
      <c r="B425" t="s">
        <v>3352</v>
      </c>
      <c r="C425" s="32" t="s">
        <v>611</v>
      </c>
      <c r="D425" t="s">
        <v>3353</v>
      </c>
      <c r="E425" s="54">
        <v>7707.61</v>
      </c>
      <c r="F425" s="54">
        <v>4818.47</v>
      </c>
      <c r="G425" s="54">
        <v>10254.83</v>
      </c>
      <c r="H425" s="54">
        <v>3870.86</v>
      </c>
      <c r="I425" t="s">
        <v>2877</v>
      </c>
      <c r="J425" s="31">
        <v>4818.47</v>
      </c>
      <c r="K425" s="36" t="s">
        <v>2675</v>
      </c>
      <c r="L425" t="s">
        <v>2502</v>
      </c>
      <c r="M425" t="s">
        <v>3354</v>
      </c>
      <c r="N425" t="s">
        <v>1345</v>
      </c>
      <c r="O425" t="s">
        <v>67</v>
      </c>
      <c r="Q425" s="23">
        <v>46281.464926203706</v>
      </c>
      <c r="R425" s="32">
        <f>IF(OR(tbl_de_massas[[#This Row],[dia_vencimento]]="", tbl_de_massas[[#This Row],[dia_vencimento]]="--"), "", WORKDAY(tbl_de_massas[[#This Row],[dia_vencimento]], 5))</f>
        <v>32</v>
      </c>
    </row>
    <row r="426" spans="1:18" x14ac:dyDescent="0.25">
      <c r="A426" t="s">
        <v>3355</v>
      </c>
      <c r="B426" t="s">
        <v>3356</v>
      </c>
      <c r="C426" s="32" t="s">
        <v>5827</v>
      </c>
      <c r="D426" t="s">
        <v>3357</v>
      </c>
      <c r="E426" s="54">
        <v>9345.4599999999991</v>
      </c>
      <c r="F426" s="54">
        <v>5085.5600000000004</v>
      </c>
      <c r="G426" s="54">
        <v>15216.01</v>
      </c>
      <c r="H426" s="54">
        <v>3870.86</v>
      </c>
      <c r="I426" t="s">
        <v>2877</v>
      </c>
      <c r="J426" s="31">
        <v>5085.5600000000004</v>
      </c>
      <c r="K426" s="36" t="s">
        <v>2675</v>
      </c>
      <c r="L426" t="s">
        <v>2502</v>
      </c>
      <c r="M426" t="s">
        <v>3358</v>
      </c>
      <c r="N426" t="s">
        <v>1345</v>
      </c>
      <c r="O426" t="s">
        <v>67</v>
      </c>
      <c r="Q426" s="23">
        <v>46281.464928333335</v>
      </c>
      <c r="R426" s="32">
        <f>IF(OR(tbl_de_massas[[#This Row],[dia_vencimento]]="", tbl_de_massas[[#This Row],[dia_vencimento]]="--"), "", WORKDAY(tbl_de_massas[[#This Row],[dia_vencimento]], 5))</f>
        <v>12</v>
      </c>
    </row>
    <row r="427" spans="1:18" x14ac:dyDescent="0.25">
      <c r="A427" t="s">
        <v>3359</v>
      </c>
      <c r="B427" t="s">
        <v>3360</v>
      </c>
      <c r="C427" s="32" t="s">
        <v>5827</v>
      </c>
      <c r="D427" t="s">
        <v>3361</v>
      </c>
      <c r="E427" s="54">
        <v>12410.41</v>
      </c>
      <c r="F427" s="54">
        <v>4908.1099999999997</v>
      </c>
      <c r="G427" s="54">
        <v>5003.8599999999997</v>
      </c>
      <c r="H427" s="54">
        <v>3870.86</v>
      </c>
      <c r="I427" t="s">
        <v>2877</v>
      </c>
      <c r="J427" s="31">
        <v>4908.1099999999997</v>
      </c>
      <c r="K427" s="36" t="s">
        <v>2675</v>
      </c>
      <c r="L427" t="s">
        <v>2502</v>
      </c>
      <c r="M427" t="s">
        <v>3362</v>
      </c>
      <c r="N427" t="s">
        <v>1345</v>
      </c>
      <c r="O427" t="s">
        <v>67</v>
      </c>
      <c r="Q427" s="23">
        <v>46281.464931446761</v>
      </c>
      <c r="R427" s="32">
        <f>IF(OR(tbl_de_massas[[#This Row],[dia_vencimento]]="", tbl_de_massas[[#This Row],[dia_vencimento]]="--"), "", WORKDAY(tbl_de_massas[[#This Row],[dia_vencimento]], 5))</f>
        <v>12</v>
      </c>
    </row>
    <row r="428" spans="1:18" x14ac:dyDescent="0.25">
      <c r="A428" t="s">
        <v>3363</v>
      </c>
      <c r="B428" t="s">
        <v>3364</v>
      </c>
      <c r="C428" s="32" t="s">
        <v>607</v>
      </c>
      <c r="D428" t="s">
        <v>3365</v>
      </c>
      <c r="E428" s="54">
        <v>14125.64</v>
      </c>
      <c r="F428" s="54">
        <v>4832.66</v>
      </c>
      <c r="G428" s="54">
        <v>-2191.87</v>
      </c>
      <c r="H428" s="54">
        <v>3870.86</v>
      </c>
      <c r="I428" t="s">
        <v>2877</v>
      </c>
      <c r="J428" s="31">
        <v>4832.66</v>
      </c>
      <c r="K428" s="36" t="s">
        <v>2675</v>
      </c>
      <c r="L428" t="s">
        <v>2502</v>
      </c>
      <c r="M428" t="s">
        <v>67</v>
      </c>
      <c r="O428" t="s">
        <v>3366</v>
      </c>
      <c r="P428" t="s">
        <v>1341</v>
      </c>
      <c r="Q428" s="23">
        <v>46281.464933750001</v>
      </c>
      <c r="R428" s="32">
        <f>IF(OR(tbl_de_massas[[#This Row],[dia_vencimento]]="", tbl_de_massas[[#This Row],[dia_vencimento]]="--"), "", WORKDAY(tbl_de_massas[[#This Row],[dia_vencimento]], 5))</f>
        <v>20</v>
      </c>
    </row>
    <row r="429" spans="1:18" x14ac:dyDescent="0.25">
      <c r="A429" t="s">
        <v>3367</v>
      </c>
      <c r="B429" t="s">
        <v>3368</v>
      </c>
      <c r="C429" s="32" t="s">
        <v>605</v>
      </c>
      <c r="D429" t="s">
        <v>3369</v>
      </c>
      <c r="E429" s="54">
        <v>6393.77</v>
      </c>
      <c r="F429" s="54">
        <v>5045.09</v>
      </c>
      <c r="G429" s="54">
        <v>2439.54</v>
      </c>
      <c r="H429" s="54">
        <v>3870.86</v>
      </c>
      <c r="I429" t="s">
        <v>2877</v>
      </c>
      <c r="J429" s="31">
        <v>5045.09</v>
      </c>
      <c r="K429" s="36" t="s">
        <v>2675</v>
      </c>
      <c r="L429" t="s">
        <v>2502</v>
      </c>
      <c r="M429" t="s">
        <v>67</v>
      </c>
      <c r="O429" t="s">
        <v>3370</v>
      </c>
      <c r="P429" t="s">
        <v>1341</v>
      </c>
      <c r="Q429" s="23">
        <v>46281.464936574077</v>
      </c>
      <c r="R429" s="32">
        <f>IF(OR(tbl_de_massas[[#This Row],[dia_vencimento]]="", tbl_de_massas[[#This Row],[dia_vencimento]]="--"), "", WORKDAY(tbl_de_massas[[#This Row],[dia_vencimento]], 5))</f>
        <v>17</v>
      </c>
    </row>
    <row r="430" spans="1:18" x14ac:dyDescent="0.25">
      <c r="A430" t="s">
        <v>3371</v>
      </c>
      <c r="B430" t="s">
        <v>3372</v>
      </c>
      <c r="C430" s="32" t="s">
        <v>605</v>
      </c>
      <c r="D430" t="s">
        <v>3373</v>
      </c>
      <c r="E430" s="54">
        <v>12497.3</v>
      </c>
      <c r="F430" s="54">
        <v>593.5</v>
      </c>
      <c r="G430" s="54">
        <v>12138.05</v>
      </c>
      <c r="H430" s="54">
        <v>0</v>
      </c>
      <c r="I430" t="s">
        <v>2881</v>
      </c>
      <c r="J430" s="31">
        <v>593.5</v>
      </c>
      <c r="K430" s="36" t="s">
        <v>1306</v>
      </c>
      <c r="L430" t="s">
        <v>2504</v>
      </c>
      <c r="M430" t="s">
        <v>67</v>
      </c>
      <c r="O430" t="s">
        <v>3374</v>
      </c>
      <c r="P430" t="s">
        <v>1345</v>
      </c>
      <c r="Q430" s="23">
        <v>46281.46493923611</v>
      </c>
      <c r="R430" s="32">
        <f>IF(OR(tbl_de_massas[[#This Row],[dia_vencimento]]="", tbl_de_massas[[#This Row],[dia_vencimento]]="--"), "", WORKDAY(tbl_de_massas[[#This Row],[dia_vencimento]], 5))</f>
        <v>17</v>
      </c>
    </row>
    <row r="431" spans="1:18" x14ac:dyDescent="0.25">
      <c r="A431" t="s">
        <v>3375</v>
      </c>
      <c r="B431" t="s">
        <v>3376</v>
      </c>
      <c r="C431" s="32" t="s">
        <v>605</v>
      </c>
      <c r="D431" t="s">
        <v>3377</v>
      </c>
      <c r="E431" s="54">
        <v>3922.35</v>
      </c>
      <c r="F431" s="54">
        <v>872.82</v>
      </c>
      <c r="G431" s="54">
        <v>5540.59</v>
      </c>
      <c r="H431" s="54">
        <v>0</v>
      </c>
      <c r="I431" t="s">
        <v>2881</v>
      </c>
      <c r="J431" s="31">
        <v>872.82</v>
      </c>
      <c r="K431" s="36" t="s">
        <v>1306</v>
      </c>
      <c r="L431" t="s">
        <v>2504</v>
      </c>
      <c r="M431" t="s">
        <v>3378</v>
      </c>
      <c r="N431" t="s">
        <v>1341</v>
      </c>
      <c r="O431" t="s">
        <v>3379</v>
      </c>
      <c r="P431" t="s">
        <v>1341</v>
      </c>
      <c r="Q431" s="23">
        <v>46281.464941365739</v>
      </c>
      <c r="R431" s="32">
        <f>IF(OR(tbl_de_massas[[#This Row],[dia_vencimento]]="", tbl_de_massas[[#This Row],[dia_vencimento]]="--"), "", WORKDAY(tbl_de_massas[[#This Row],[dia_vencimento]], 5))</f>
        <v>17</v>
      </c>
    </row>
    <row r="432" spans="1:18" x14ac:dyDescent="0.25">
      <c r="A432" t="s">
        <v>3380</v>
      </c>
      <c r="B432" t="s">
        <v>3381</v>
      </c>
      <c r="C432" s="32" t="s">
        <v>607</v>
      </c>
      <c r="D432" t="s">
        <v>3382</v>
      </c>
      <c r="E432" s="54">
        <v>12117.11</v>
      </c>
      <c r="F432" s="54">
        <v>5081.76</v>
      </c>
      <c r="G432" s="54">
        <v>-10.75</v>
      </c>
      <c r="H432" s="54">
        <v>3870.86</v>
      </c>
      <c r="I432" t="s">
        <v>2877</v>
      </c>
      <c r="J432" s="31">
        <v>5081.76</v>
      </c>
      <c r="K432" s="36" t="s">
        <v>2675</v>
      </c>
      <c r="L432" t="s">
        <v>2502</v>
      </c>
      <c r="M432" t="s">
        <v>67</v>
      </c>
      <c r="O432" t="s">
        <v>3383</v>
      </c>
      <c r="P432" t="s">
        <v>1341</v>
      </c>
      <c r="Q432" s="23">
        <v>46281.464943680556</v>
      </c>
      <c r="R432" s="32">
        <f>IF(OR(tbl_de_massas[[#This Row],[dia_vencimento]]="", tbl_de_massas[[#This Row],[dia_vencimento]]="--"), "", WORKDAY(tbl_de_massas[[#This Row],[dia_vencimento]], 5))</f>
        <v>20</v>
      </c>
    </row>
    <row r="433" spans="1:18" x14ac:dyDescent="0.25">
      <c r="A433" t="s">
        <v>3384</v>
      </c>
      <c r="B433" t="s">
        <v>3385</v>
      </c>
      <c r="C433" s="32" t="s">
        <v>605</v>
      </c>
      <c r="D433" t="s">
        <v>3386</v>
      </c>
      <c r="E433" s="54">
        <v>13820.98</v>
      </c>
      <c r="F433" s="54">
        <v>769.32</v>
      </c>
      <c r="G433" s="54">
        <v>1455.45</v>
      </c>
      <c r="H433" s="54">
        <v>0</v>
      </c>
      <c r="I433" t="s">
        <v>2881</v>
      </c>
      <c r="J433" s="31">
        <v>769.32</v>
      </c>
      <c r="K433" s="36" t="s">
        <v>1306</v>
      </c>
      <c r="L433" t="s">
        <v>2504</v>
      </c>
      <c r="M433" t="s">
        <v>67</v>
      </c>
      <c r="O433" t="s">
        <v>3387</v>
      </c>
      <c r="P433" t="s">
        <v>1341</v>
      </c>
      <c r="Q433" s="23">
        <v>46281.464945856482</v>
      </c>
      <c r="R433" s="32">
        <f>IF(OR(tbl_de_massas[[#This Row],[dia_vencimento]]="", tbl_de_massas[[#This Row],[dia_vencimento]]="--"), "", WORKDAY(tbl_de_massas[[#This Row],[dia_vencimento]], 5))</f>
        <v>17</v>
      </c>
    </row>
    <row r="434" spans="1:18" x14ac:dyDescent="0.25">
      <c r="A434" t="s">
        <v>3388</v>
      </c>
      <c r="B434" t="s">
        <v>3389</v>
      </c>
      <c r="C434" s="32" t="s">
        <v>608</v>
      </c>
      <c r="D434" t="s">
        <v>3390</v>
      </c>
      <c r="E434" s="54">
        <v>2284.9499999999998</v>
      </c>
      <c r="F434" s="54">
        <v>4829.05</v>
      </c>
      <c r="G434" s="54">
        <v>14785.03</v>
      </c>
      <c r="H434" s="54">
        <v>3870.86</v>
      </c>
      <c r="I434" t="s">
        <v>2877</v>
      </c>
      <c r="J434" s="31">
        <v>4829.05</v>
      </c>
      <c r="K434" s="36" t="s">
        <v>2675</v>
      </c>
      <c r="L434" t="s">
        <v>2502</v>
      </c>
      <c r="M434" t="s">
        <v>3391</v>
      </c>
      <c r="N434" t="s">
        <v>1341</v>
      </c>
      <c r="O434" t="s">
        <v>3392</v>
      </c>
      <c r="P434" t="s">
        <v>1341</v>
      </c>
      <c r="Q434" s="23">
        <v>46281.464947719905</v>
      </c>
      <c r="R434" s="32">
        <f>IF(OR(tbl_de_massas[[#This Row],[dia_vencimento]]="", tbl_de_massas[[#This Row],[dia_vencimento]]="--"), "", WORKDAY(tbl_de_massas[[#This Row],[dia_vencimento]], 5))</f>
        <v>27</v>
      </c>
    </row>
    <row r="435" spans="1:18" x14ac:dyDescent="0.25">
      <c r="A435" t="s">
        <v>3393</v>
      </c>
      <c r="B435" t="s">
        <v>3394</v>
      </c>
      <c r="C435" s="32" t="s">
        <v>608</v>
      </c>
      <c r="D435" t="s">
        <v>3395</v>
      </c>
      <c r="E435" s="54">
        <v>11822.2</v>
      </c>
      <c r="F435" s="54">
        <v>4788.41</v>
      </c>
      <c r="G435" s="54">
        <v>5414.08</v>
      </c>
      <c r="H435" s="54">
        <v>3870.86</v>
      </c>
      <c r="I435" t="s">
        <v>2877</v>
      </c>
      <c r="J435" s="31">
        <v>4788.41</v>
      </c>
      <c r="K435" s="36" t="s">
        <v>2675</v>
      </c>
      <c r="L435" t="s">
        <v>2502</v>
      </c>
      <c r="M435" t="s">
        <v>67</v>
      </c>
      <c r="O435" t="s">
        <v>3396</v>
      </c>
      <c r="P435" t="s">
        <v>1345</v>
      </c>
      <c r="Q435" s="23">
        <v>46281.464950231479</v>
      </c>
      <c r="R435" s="32">
        <f>IF(OR(tbl_de_massas[[#This Row],[dia_vencimento]]="", tbl_de_massas[[#This Row],[dia_vencimento]]="--"), "", WORKDAY(tbl_de_massas[[#This Row],[dia_vencimento]], 5))</f>
        <v>27</v>
      </c>
    </row>
    <row r="436" spans="1:18" x14ac:dyDescent="0.25">
      <c r="A436" t="s">
        <v>3397</v>
      </c>
      <c r="B436" t="s">
        <v>3398</v>
      </c>
      <c r="C436" s="32" t="s">
        <v>605</v>
      </c>
      <c r="D436" t="s">
        <v>3399</v>
      </c>
      <c r="E436" s="54">
        <v>7544.44</v>
      </c>
      <c r="F436" s="54">
        <v>912.66</v>
      </c>
      <c r="G436" s="54">
        <v>1808.93</v>
      </c>
      <c r="H436" s="54">
        <v>0</v>
      </c>
      <c r="I436" t="s">
        <v>2881</v>
      </c>
      <c r="J436" s="31">
        <v>912.66</v>
      </c>
      <c r="K436" s="36" t="s">
        <v>1306</v>
      </c>
      <c r="L436" t="s">
        <v>2504</v>
      </c>
      <c r="M436" t="s">
        <v>3400</v>
      </c>
      <c r="N436" t="s">
        <v>1341</v>
      </c>
      <c r="O436" t="s">
        <v>3401</v>
      </c>
      <c r="P436" t="s">
        <v>1341</v>
      </c>
      <c r="Q436" s="23">
        <v>46281.464952326387</v>
      </c>
      <c r="R436" s="32">
        <f>IF(OR(tbl_de_massas[[#This Row],[dia_vencimento]]="", tbl_de_massas[[#This Row],[dia_vencimento]]="--"), "", WORKDAY(tbl_de_massas[[#This Row],[dia_vencimento]], 5))</f>
        <v>17</v>
      </c>
    </row>
    <row r="437" spans="1:18" x14ac:dyDescent="0.25">
      <c r="A437" t="s">
        <v>3402</v>
      </c>
      <c r="B437" t="s">
        <v>3403</v>
      </c>
      <c r="C437" s="32" t="s">
        <v>611</v>
      </c>
      <c r="D437" t="s">
        <v>3404</v>
      </c>
      <c r="E437" s="54">
        <v>12499.33</v>
      </c>
      <c r="F437" s="54">
        <v>0</v>
      </c>
      <c r="G437" s="54">
        <v>4072.95</v>
      </c>
      <c r="H437" s="54">
        <v>0</v>
      </c>
      <c r="I437" t="s">
        <v>2881</v>
      </c>
      <c r="J437" s="31">
        <v>900.62</v>
      </c>
      <c r="K437" s="36" t="s">
        <v>1306</v>
      </c>
      <c r="L437" t="s">
        <v>2504</v>
      </c>
      <c r="M437" t="s">
        <v>3405</v>
      </c>
      <c r="N437" t="s">
        <v>1345</v>
      </c>
      <c r="O437" t="s">
        <v>67</v>
      </c>
      <c r="Q437" s="23">
        <v>46281.464954317133</v>
      </c>
      <c r="R437" s="32">
        <f>IF(OR(tbl_de_massas[[#This Row],[dia_vencimento]]="", tbl_de_massas[[#This Row],[dia_vencimento]]="--"), "", WORKDAY(tbl_de_massas[[#This Row],[dia_vencimento]], 5))</f>
        <v>32</v>
      </c>
    </row>
    <row r="438" spans="1:18" x14ac:dyDescent="0.25">
      <c r="A438" t="s">
        <v>3406</v>
      </c>
      <c r="B438" t="s">
        <v>3407</v>
      </c>
      <c r="C438" s="32" t="s">
        <v>5827</v>
      </c>
      <c r="D438" t="s">
        <v>3408</v>
      </c>
      <c r="E438" s="54">
        <v>5432.66</v>
      </c>
      <c r="F438" s="54">
        <v>573.19000000000005</v>
      </c>
      <c r="G438" s="54">
        <v>11510.28</v>
      </c>
      <c r="H438" s="54">
        <v>0</v>
      </c>
      <c r="I438" t="s">
        <v>2881</v>
      </c>
      <c r="J438" s="31">
        <v>573.19000000000005</v>
      </c>
      <c r="K438" s="36" t="s">
        <v>1306</v>
      </c>
      <c r="L438" t="s">
        <v>2504</v>
      </c>
      <c r="M438" t="s">
        <v>67</v>
      </c>
      <c r="O438" t="s">
        <v>3409</v>
      </c>
      <c r="P438" t="s">
        <v>1341</v>
      </c>
      <c r="Q438" s="23">
        <v>46281.464956064818</v>
      </c>
      <c r="R438" s="32">
        <f>IF(OR(tbl_de_massas[[#This Row],[dia_vencimento]]="", tbl_de_massas[[#This Row],[dia_vencimento]]="--"), "", WORKDAY(tbl_de_massas[[#This Row],[dia_vencimento]], 5))</f>
        <v>12</v>
      </c>
    </row>
    <row r="439" spans="1:18" x14ac:dyDescent="0.25">
      <c r="A439" t="s">
        <v>3410</v>
      </c>
      <c r="B439" t="s">
        <v>3411</v>
      </c>
      <c r="C439" s="32" t="s">
        <v>608</v>
      </c>
      <c r="D439" t="s">
        <v>3412</v>
      </c>
      <c r="E439" s="54">
        <v>1132.69</v>
      </c>
      <c r="F439" s="54">
        <v>0</v>
      </c>
      <c r="G439" s="54">
        <v>12976.76</v>
      </c>
      <c r="H439" s="54">
        <v>0</v>
      </c>
      <c r="I439" t="s">
        <v>2881</v>
      </c>
      <c r="J439" s="31">
        <v>920.48</v>
      </c>
      <c r="K439" s="36" t="s">
        <v>1306</v>
      </c>
      <c r="L439" t="s">
        <v>2504</v>
      </c>
      <c r="M439" t="s">
        <v>67</v>
      </c>
      <c r="O439" t="s">
        <v>3413</v>
      </c>
      <c r="P439" t="s">
        <v>1341</v>
      </c>
      <c r="Q439" s="23">
        <v>46281.464957696757</v>
      </c>
      <c r="R439" s="32">
        <f>IF(OR(tbl_de_massas[[#This Row],[dia_vencimento]]="", tbl_de_massas[[#This Row],[dia_vencimento]]="--"), "", WORKDAY(tbl_de_massas[[#This Row],[dia_vencimento]], 5))</f>
        <v>27</v>
      </c>
    </row>
    <row r="440" spans="1:18" x14ac:dyDescent="0.25">
      <c r="A440" t="s">
        <v>3414</v>
      </c>
      <c r="B440" t="s">
        <v>3415</v>
      </c>
      <c r="C440" s="32" t="s">
        <v>605</v>
      </c>
      <c r="D440" t="s">
        <v>3416</v>
      </c>
      <c r="E440" s="54">
        <v>14603.13</v>
      </c>
      <c r="F440" s="54">
        <v>905.14</v>
      </c>
      <c r="G440" s="54">
        <v>15242.07</v>
      </c>
      <c r="H440" s="54">
        <v>0</v>
      </c>
      <c r="I440" t="s">
        <v>2881</v>
      </c>
      <c r="J440" s="31">
        <v>905.14</v>
      </c>
      <c r="K440" s="36" t="s">
        <v>1306</v>
      </c>
      <c r="L440" t="s">
        <v>2504</v>
      </c>
      <c r="M440" t="s">
        <v>3417</v>
      </c>
      <c r="N440" t="s">
        <v>1345</v>
      </c>
      <c r="O440" t="s">
        <v>67</v>
      </c>
      <c r="Q440" s="23">
        <v>46281.464959571756</v>
      </c>
      <c r="R440" s="32">
        <f>IF(OR(tbl_de_massas[[#This Row],[dia_vencimento]]="", tbl_de_massas[[#This Row],[dia_vencimento]]="--"), "", WORKDAY(tbl_de_massas[[#This Row],[dia_vencimento]], 5))</f>
        <v>17</v>
      </c>
    </row>
    <row r="441" spans="1:18" x14ac:dyDescent="0.25">
      <c r="A441" t="s">
        <v>3418</v>
      </c>
      <c r="B441" t="s">
        <v>3419</v>
      </c>
      <c r="C441" s="32" t="s">
        <v>607</v>
      </c>
      <c r="D441" t="s">
        <v>3420</v>
      </c>
      <c r="E441" s="54">
        <v>6341.95</v>
      </c>
      <c r="F441" s="54">
        <v>284.39999999999998</v>
      </c>
      <c r="G441" s="54">
        <v>18155.669999999998</v>
      </c>
      <c r="H441" s="54">
        <v>0</v>
      </c>
      <c r="I441" t="s">
        <v>2881</v>
      </c>
      <c r="J441" s="31">
        <v>511.92</v>
      </c>
      <c r="K441" s="36" t="s">
        <v>1306</v>
      </c>
      <c r="L441" t="s">
        <v>2504</v>
      </c>
      <c r="M441" t="s">
        <v>67</v>
      </c>
      <c r="O441" t="s">
        <v>3421</v>
      </c>
      <c r="P441" t="s">
        <v>1345</v>
      </c>
      <c r="Q441" s="23">
        <v>46281.464961365738</v>
      </c>
      <c r="R441" s="32">
        <f>IF(OR(tbl_de_massas[[#This Row],[dia_vencimento]]="", tbl_de_massas[[#This Row],[dia_vencimento]]="--"), "", WORKDAY(tbl_de_massas[[#This Row],[dia_vencimento]], 5))</f>
        <v>20</v>
      </c>
    </row>
    <row r="442" spans="1:18" x14ac:dyDescent="0.25">
      <c r="A442" t="s">
        <v>3422</v>
      </c>
      <c r="B442" t="s">
        <v>3423</v>
      </c>
      <c r="C442" s="32" t="s">
        <v>5827</v>
      </c>
      <c r="D442" t="s">
        <v>3424</v>
      </c>
      <c r="E442" s="54">
        <v>9067.24</v>
      </c>
      <c r="F442" s="54">
        <v>4863.8500000000004</v>
      </c>
      <c r="G442" s="54">
        <v>4681.18</v>
      </c>
      <c r="H442" s="54">
        <v>3870.86</v>
      </c>
      <c r="I442" t="s">
        <v>2877</v>
      </c>
      <c r="J442" s="31">
        <v>4863.8500000000004</v>
      </c>
      <c r="K442" s="36" t="s">
        <v>2675</v>
      </c>
      <c r="L442" t="s">
        <v>2502</v>
      </c>
      <c r="M442" t="s">
        <v>3425</v>
      </c>
      <c r="N442" t="s">
        <v>1341</v>
      </c>
      <c r="O442" t="s">
        <v>67</v>
      </c>
      <c r="Q442" s="23">
        <v>46281.464963287035</v>
      </c>
      <c r="R442" s="32">
        <f>IF(OR(tbl_de_massas[[#This Row],[dia_vencimento]]="", tbl_de_massas[[#This Row],[dia_vencimento]]="--"), "", WORKDAY(tbl_de_massas[[#This Row],[dia_vencimento]], 5))</f>
        <v>12</v>
      </c>
    </row>
    <row r="443" spans="1:18" x14ac:dyDescent="0.25">
      <c r="A443" t="s">
        <v>3426</v>
      </c>
      <c r="B443" t="s">
        <v>3427</v>
      </c>
      <c r="C443" s="32" t="s">
        <v>608</v>
      </c>
      <c r="D443" t="s">
        <v>3428</v>
      </c>
      <c r="E443" s="54">
        <v>10367.209999999999</v>
      </c>
      <c r="F443" s="54">
        <v>0</v>
      </c>
      <c r="G443" s="54">
        <v>6055.78</v>
      </c>
      <c r="H443" s="54">
        <v>0</v>
      </c>
      <c r="I443" t="s">
        <v>2881</v>
      </c>
      <c r="J443" s="31">
        <v>808.72</v>
      </c>
      <c r="K443" s="36" t="s">
        <v>1306</v>
      </c>
      <c r="L443" t="s">
        <v>2504</v>
      </c>
      <c r="M443" t="s">
        <v>67</v>
      </c>
      <c r="O443" t="s">
        <v>3429</v>
      </c>
      <c r="P443" t="s">
        <v>1341</v>
      </c>
      <c r="Q443" s="23">
        <v>46281.464965694446</v>
      </c>
      <c r="R443" s="32">
        <f>IF(OR(tbl_de_massas[[#This Row],[dia_vencimento]]="", tbl_de_massas[[#This Row],[dia_vencimento]]="--"), "", WORKDAY(tbl_de_massas[[#This Row],[dia_vencimento]], 5))</f>
        <v>27</v>
      </c>
    </row>
    <row r="444" spans="1:18" x14ac:dyDescent="0.25">
      <c r="A444" t="s">
        <v>3430</v>
      </c>
      <c r="B444" t="s">
        <v>3431</v>
      </c>
      <c r="C444" s="32" t="s">
        <v>611</v>
      </c>
      <c r="D444" t="s">
        <v>3432</v>
      </c>
      <c r="E444" s="54">
        <v>14661.01</v>
      </c>
      <c r="F444" s="54">
        <v>4879.5200000000004</v>
      </c>
      <c r="G444" s="54">
        <v>16574.47</v>
      </c>
      <c r="H444" s="54">
        <v>3870.86</v>
      </c>
      <c r="I444" t="s">
        <v>2877</v>
      </c>
      <c r="J444" s="31">
        <v>4879.5200000000004</v>
      </c>
      <c r="K444" s="36" t="s">
        <v>2675</v>
      </c>
      <c r="L444" t="s">
        <v>2502</v>
      </c>
      <c r="M444" t="s">
        <v>3433</v>
      </c>
      <c r="N444" t="s">
        <v>1345</v>
      </c>
      <c r="O444" t="s">
        <v>3434</v>
      </c>
      <c r="P444" t="s">
        <v>1345</v>
      </c>
      <c r="Q444" s="23">
        <v>46281.464967465276</v>
      </c>
      <c r="R444" s="32">
        <f>IF(OR(tbl_de_massas[[#This Row],[dia_vencimento]]="", tbl_de_massas[[#This Row],[dia_vencimento]]="--"), "", WORKDAY(tbl_de_massas[[#This Row],[dia_vencimento]], 5))</f>
        <v>32</v>
      </c>
    </row>
    <row r="445" spans="1:18" x14ac:dyDescent="0.25">
      <c r="A445" t="s">
        <v>3435</v>
      </c>
      <c r="B445" t="s">
        <v>3436</v>
      </c>
      <c r="C445" s="32" t="s">
        <v>608</v>
      </c>
      <c r="D445" t="s">
        <v>3437</v>
      </c>
      <c r="E445" s="54">
        <v>7991.93</v>
      </c>
      <c r="F445" s="54">
        <v>5086.72</v>
      </c>
      <c r="G445" s="54">
        <v>7528.33</v>
      </c>
      <c r="H445" s="54">
        <v>3870.86</v>
      </c>
      <c r="I445" t="s">
        <v>2877</v>
      </c>
      <c r="J445" s="31">
        <v>5086.72</v>
      </c>
      <c r="K445" s="36" t="s">
        <v>2675</v>
      </c>
      <c r="L445" t="s">
        <v>2502</v>
      </c>
      <c r="M445" t="s">
        <v>3438</v>
      </c>
      <c r="N445" t="s">
        <v>1341</v>
      </c>
      <c r="O445" t="s">
        <v>3439</v>
      </c>
      <c r="P445" t="s">
        <v>1341</v>
      </c>
      <c r="Q445" s="23">
        <v>46281.464969618057</v>
      </c>
      <c r="R445" s="32">
        <f>IF(OR(tbl_de_massas[[#This Row],[dia_vencimento]]="", tbl_de_massas[[#This Row],[dia_vencimento]]="--"), "", WORKDAY(tbl_de_massas[[#This Row],[dia_vencimento]], 5))</f>
        <v>27</v>
      </c>
    </row>
    <row r="446" spans="1:18" x14ac:dyDescent="0.25">
      <c r="A446" t="s">
        <v>3440</v>
      </c>
      <c r="B446" t="s">
        <v>3441</v>
      </c>
      <c r="C446" s="32" t="s">
        <v>5827</v>
      </c>
      <c r="D446" t="s">
        <v>3442</v>
      </c>
      <c r="E446" s="54">
        <v>12788.31</v>
      </c>
      <c r="F446" s="54">
        <v>549.30999999999995</v>
      </c>
      <c r="G446" s="54">
        <v>14202.81</v>
      </c>
      <c r="H446" s="54">
        <v>0</v>
      </c>
      <c r="I446" t="s">
        <v>2881</v>
      </c>
      <c r="J446" s="31">
        <v>549.30999999999995</v>
      </c>
      <c r="K446" s="36" t="s">
        <v>1306</v>
      </c>
      <c r="L446" t="s">
        <v>2504</v>
      </c>
      <c r="M446" t="s">
        <v>3443</v>
      </c>
      <c r="N446" t="s">
        <v>1341</v>
      </c>
      <c r="O446" t="s">
        <v>3444</v>
      </c>
      <c r="P446" t="s">
        <v>1341</v>
      </c>
      <c r="Q446" s="23">
        <v>46281.464971944442</v>
      </c>
      <c r="R446" s="32">
        <f>IF(OR(tbl_de_massas[[#This Row],[dia_vencimento]]="", tbl_de_massas[[#This Row],[dia_vencimento]]="--"), "", WORKDAY(tbl_de_massas[[#This Row],[dia_vencimento]], 5))</f>
        <v>12</v>
      </c>
    </row>
    <row r="447" spans="1:18" x14ac:dyDescent="0.25">
      <c r="A447" t="s">
        <v>3445</v>
      </c>
      <c r="B447" t="s">
        <v>3446</v>
      </c>
      <c r="C447" s="32" t="s">
        <v>605</v>
      </c>
      <c r="D447" t="s">
        <v>3447</v>
      </c>
      <c r="E447" s="54">
        <v>10735.86</v>
      </c>
      <c r="F447" s="54">
        <v>4902.74</v>
      </c>
      <c r="G447" s="54">
        <v>12692.99</v>
      </c>
      <c r="H447" s="54">
        <v>3870.86</v>
      </c>
      <c r="I447" t="s">
        <v>2877</v>
      </c>
      <c r="J447" s="31">
        <v>4902.74</v>
      </c>
      <c r="K447" s="36" t="s">
        <v>2675</v>
      </c>
      <c r="L447" t="s">
        <v>2502</v>
      </c>
      <c r="M447" t="s">
        <v>3448</v>
      </c>
      <c r="N447" t="s">
        <v>1341</v>
      </c>
      <c r="O447" t="s">
        <v>67</v>
      </c>
      <c r="Q447" s="23">
        <v>46281.464973634262</v>
      </c>
      <c r="R447" s="32">
        <f>IF(OR(tbl_de_massas[[#This Row],[dia_vencimento]]="", tbl_de_massas[[#This Row],[dia_vencimento]]="--"), "", WORKDAY(tbl_de_massas[[#This Row],[dia_vencimento]], 5))</f>
        <v>17</v>
      </c>
    </row>
    <row r="448" spans="1:18" x14ac:dyDescent="0.25">
      <c r="A448" t="s">
        <v>3449</v>
      </c>
      <c r="B448" t="s">
        <v>3450</v>
      </c>
      <c r="C448" s="32" t="s">
        <v>608</v>
      </c>
      <c r="D448" t="s">
        <v>3451</v>
      </c>
      <c r="E448" s="54">
        <v>11304.23</v>
      </c>
      <c r="F448" s="54">
        <v>0</v>
      </c>
      <c r="G448" s="54">
        <v>17638.349999999999</v>
      </c>
      <c r="H448" s="54">
        <v>0</v>
      </c>
      <c r="I448" t="s">
        <v>2881</v>
      </c>
      <c r="J448" s="31">
        <v>438.18</v>
      </c>
      <c r="K448" s="36" t="s">
        <v>1306</v>
      </c>
      <c r="L448" t="s">
        <v>2504</v>
      </c>
      <c r="M448" t="s">
        <v>3452</v>
      </c>
      <c r="N448" t="s">
        <v>1345</v>
      </c>
      <c r="O448" t="s">
        <v>3453</v>
      </c>
      <c r="P448" t="s">
        <v>1345</v>
      </c>
      <c r="Q448" s="23">
        <v>46281.464976076386</v>
      </c>
      <c r="R448" s="32">
        <f>IF(OR(tbl_de_massas[[#This Row],[dia_vencimento]]="", tbl_de_massas[[#This Row],[dia_vencimento]]="--"), "", WORKDAY(tbl_de_massas[[#This Row],[dia_vencimento]], 5))</f>
        <v>27</v>
      </c>
    </row>
    <row r="449" spans="1:18" x14ac:dyDescent="0.25">
      <c r="A449" t="s">
        <v>3454</v>
      </c>
      <c r="B449" t="s">
        <v>3455</v>
      </c>
      <c r="C449" s="32" t="s">
        <v>607</v>
      </c>
      <c r="D449" t="s">
        <v>3456</v>
      </c>
      <c r="E449" s="54">
        <v>12637.95</v>
      </c>
      <c r="F449" s="54">
        <v>4858.7</v>
      </c>
      <c r="G449" s="54">
        <v>11072.72</v>
      </c>
      <c r="H449" s="54">
        <v>3870.86</v>
      </c>
      <c r="I449" t="s">
        <v>2877</v>
      </c>
      <c r="J449" s="31">
        <v>4858.7</v>
      </c>
      <c r="K449" s="36" t="s">
        <v>2675</v>
      </c>
      <c r="L449" t="s">
        <v>2502</v>
      </c>
      <c r="M449" t="s">
        <v>67</v>
      </c>
      <c r="O449" t="s">
        <v>3457</v>
      </c>
      <c r="P449" t="s">
        <v>1341</v>
      </c>
      <c r="Q449" s="23">
        <v>46281.464978113429</v>
      </c>
      <c r="R449" s="32">
        <f>IF(OR(tbl_de_massas[[#This Row],[dia_vencimento]]="", tbl_de_massas[[#This Row],[dia_vencimento]]="--"), "", WORKDAY(tbl_de_massas[[#This Row],[dia_vencimento]], 5))</f>
        <v>20</v>
      </c>
    </row>
    <row r="450" spans="1:18" x14ac:dyDescent="0.25">
      <c r="A450" t="s">
        <v>3458</v>
      </c>
      <c r="B450" t="s">
        <v>3459</v>
      </c>
      <c r="C450" s="32" t="s">
        <v>608</v>
      </c>
      <c r="D450" t="s">
        <v>3460</v>
      </c>
      <c r="E450" s="54">
        <v>4409.5</v>
      </c>
      <c r="F450" s="54">
        <v>4649.26</v>
      </c>
      <c r="G450" s="54">
        <v>15324.61</v>
      </c>
      <c r="H450" s="54">
        <v>3870.86</v>
      </c>
      <c r="I450" t="s">
        <v>2877</v>
      </c>
      <c r="J450" s="31">
        <v>4649.26</v>
      </c>
      <c r="K450" s="36" t="s">
        <v>2675</v>
      </c>
      <c r="L450" t="s">
        <v>2502</v>
      </c>
      <c r="M450" t="s">
        <v>3461</v>
      </c>
      <c r="N450" t="s">
        <v>1341</v>
      </c>
      <c r="O450" t="s">
        <v>67</v>
      </c>
      <c r="Q450" s="23">
        <v>46281.464980127312</v>
      </c>
      <c r="R450" s="32">
        <f>IF(OR(tbl_de_massas[[#This Row],[dia_vencimento]]="", tbl_de_massas[[#This Row],[dia_vencimento]]="--"), "", WORKDAY(tbl_de_massas[[#This Row],[dia_vencimento]], 5))</f>
        <v>27</v>
      </c>
    </row>
    <row r="451" spans="1:18" x14ac:dyDescent="0.25">
      <c r="A451" t="s">
        <v>3462</v>
      </c>
      <c r="B451" t="s">
        <v>3463</v>
      </c>
      <c r="C451" s="32" t="s">
        <v>605</v>
      </c>
      <c r="D451" t="s">
        <v>3464</v>
      </c>
      <c r="E451" s="54">
        <v>5510.57</v>
      </c>
      <c r="F451" s="54">
        <v>4749.93</v>
      </c>
      <c r="G451" s="54">
        <v>5425.53</v>
      </c>
      <c r="H451" s="54">
        <v>3870.86</v>
      </c>
      <c r="I451" t="s">
        <v>2877</v>
      </c>
      <c r="J451" s="31">
        <v>4749.93</v>
      </c>
      <c r="K451" s="36" t="s">
        <v>2675</v>
      </c>
      <c r="L451" t="s">
        <v>2502</v>
      </c>
      <c r="M451" t="s">
        <v>3465</v>
      </c>
      <c r="N451" t="s">
        <v>1341</v>
      </c>
      <c r="O451" t="s">
        <v>67</v>
      </c>
      <c r="Q451" s="23">
        <v>46281.464982256941</v>
      </c>
      <c r="R451" s="32">
        <f>IF(OR(tbl_de_massas[[#This Row],[dia_vencimento]]="", tbl_de_massas[[#This Row],[dia_vencimento]]="--"), "", WORKDAY(tbl_de_massas[[#This Row],[dia_vencimento]], 5))</f>
        <v>17</v>
      </c>
    </row>
    <row r="452" spans="1:18" x14ac:dyDescent="0.25">
      <c r="A452" t="s">
        <v>3466</v>
      </c>
      <c r="B452" t="s">
        <v>3467</v>
      </c>
      <c r="C452" s="32" t="s">
        <v>607</v>
      </c>
      <c r="D452" t="s">
        <v>3468</v>
      </c>
      <c r="E452" s="54">
        <v>7066.49</v>
      </c>
      <c r="F452" s="54">
        <v>4869.2700000000004</v>
      </c>
      <c r="G452" s="54">
        <v>7164.9</v>
      </c>
      <c r="H452" s="54">
        <v>3870.86</v>
      </c>
      <c r="I452" t="s">
        <v>2877</v>
      </c>
      <c r="J452" s="31">
        <v>4869.2700000000004</v>
      </c>
      <c r="K452" s="36" t="s">
        <v>2675</v>
      </c>
      <c r="L452" t="s">
        <v>2502</v>
      </c>
      <c r="M452" t="s">
        <v>3469</v>
      </c>
      <c r="N452" t="s">
        <v>1341</v>
      </c>
      <c r="O452" t="s">
        <v>3470</v>
      </c>
      <c r="P452" t="s">
        <v>1341</v>
      </c>
      <c r="Q452" s="23">
        <v>46281.464984444443</v>
      </c>
      <c r="R452" s="32">
        <f>IF(OR(tbl_de_massas[[#This Row],[dia_vencimento]]="", tbl_de_massas[[#This Row],[dia_vencimento]]="--"), "", WORKDAY(tbl_de_massas[[#This Row],[dia_vencimento]], 5))</f>
        <v>20</v>
      </c>
    </row>
    <row r="453" spans="1:18" x14ac:dyDescent="0.25">
      <c r="A453" t="s">
        <v>3471</v>
      </c>
      <c r="B453" t="s">
        <v>3472</v>
      </c>
      <c r="C453" s="32" t="s">
        <v>608</v>
      </c>
      <c r="D453" t="s">
        <v>3473</v>
      </c>
      <c r="E453" s="54">
        <v>6369.33</v>
      </c>
      <c r="F453" s="54">
        <v>5077.29</v>
      </c>
      <c r="G453" s="54">
        <v>16884.63</v>
      </c>
      <c r="H453" s="54">
        <v>3870.86</v>
      </c>
      <c r="I453" t="s">
        <v>2877</v>
      </c>
      <c r="J453" s="31">
        <v>5077.29</v>
      </c>
      <c r="K453" s="36" t="s">
        <v>2675</v>
      </c>
      <c r="L453" t="s">
        <v>2502</v>
      </c>
      <c r="M453" t="s">
        <v>67</v>
      </c>
      <c r="O453" t="s">
        <v>3474</v>
      </c>
      <c r="P453" t="s">
        <v>1345</v>
      </c>
      <c r="Q453" s="23">
        <v>46281.464986481478</v>
      </c>
      <c r="R453" s="32">
        <f>IF(OR(tbl_de_massas[[#This Row],[dia_vencimento]]="", tbl_de_massas[[#This Row],[dia_vencimento]]="--"), "", WORKDAY(tbl_de_massas[[#This Row],[dia_vencimento]], 5))</f>
        <v>27</v>
      </c>
    </row>
    <row r="454" spans="1:18" x14ac:dyDescent="0.25">
      <c r="A454" t="s">
        <v>3475</v>
      </c>
      <c r="B454" t="s">
        <v>3476</v>
      </c>
      <c r="C454" s="32" t="s">
        <v>605</v>
      </c>
      <c r="D454" t="s">
        <v>3477</v>
      </c>
      <c r="E454" s="54">
        <v>13477.84</v>
      </c>
      <c r="F454" s="54">
        <v>4791.18</v>
      </c>
      <c r="G454" s="54">
        <v>15176.16</v>
      </c>
      <c r="H454" s="54">
        <v>3870.86</v>
      </c>
      <c r="I454" t="s">
        <v>2877</v>
      </c>
      <c r="J454" s="31">
        <v>4791.18</v>
      </c>
      <c r="K454" s="36" t="s">
        <v>2675</v>
      </c>
      <c r="L454" t="s">
        <v>2502</v>
      </c>
      <c r="M454" t="s">
        <v>3478</v>
      </c>
      <c r="N454" t="s">
        <v>1341</v>
      </c>
      <c r="O454" t="s">
        <v>67</v>
      </c>
      <c r="Q454" s="23">
        <v>46281.46498877315</v>
      </c>
      <c r="R454" s="32">
        <f>IF(OR(tbl_de_massas[[#This Row],[dia_vencimento]]="", tbl_de_massas[[#This Row],[dia_vencimento]]="--"), "", WORKDAY(tbl_de_massas[[#This Row],[dia_vencimento]], 5))</f>
        <v>17</v>
      </c>
    </row>
    <row r="455" spans="1:18" x14ac:dyDescent="0.25">
      <c r="A455" t="s">
        <v>3479</v>
      </c>
      <c r="B455" t="s">
        <v>3480</v>
      </c>
      <c r="C455" s="32" t="s">
        <v>605</v>
      </c>
      <c r="D455" t="s">
        <v>3481</v>
      </c>
      <c r="E455" s="54">
        <v>11886.44</v>
      </c>
      <c r="F455" s="54">
        <v>4711.21</v>
      </c>
      <c r="G455" s="54">
        <v>13136.36</v>
      </c>
      <c r="H455" s="54">
        <v>3870.86</v>
      </c>
      <c r="I455" t="s">
        <v>2877</v>
      </c>
      <c r="J455" s="31">
        <v>4711.21</v>
      </c>
      <c r="K455" s="36" t="s">
        <v>2675</v>
      </c>
      <c r="L455" t="s">
        <v>2502</v>
      </c>
      <c r="M455" t="s">
        <v>3482</v>
      </c>
      <c r="N455" t="s">
        <v>1341</v>
      </c>
      <c r="O455" t="s">
        <v>3483</v>
      </c>
      <c r="P455" t="s">
        <v>1341</v>
      </c>
      <c r="Q455" s="23">
        <v>46281.464990983797</v>
      </c>
      <c r="R455" s="32">
        <f>IF(OR(tbl_de_massas[[#This Row],[dia_vencimento]]="", tbl_de_massas[[#This Row],[dia_vencimento]]="--"), "", WORKDAY(tbl_de_massas[[#This Row],[dia_vencimento]], 5))</f>
        <v>17</v>
      </c>
    </row>
    <row r="456" spans="1:18" x14ac:dyDescent="0.25">
      <c r="A456" t="s">
        <v>3484</v>
      </c>
      <c r="B456" t="s">
        <v>3485</v>
      </c>
      <c r="C456" s="32" t="s">
        <v>611</v>
      </c>
      <c r="D456" t="s">
        <v>3486</v>
      </c>
      <c r="E456" s="54">
        <v>11928.32</v>
      </c>
      <c r="F456" s="54">
        <v>5077.95</v>
      </c>
      <c r="G456" s="54">
        <v>1221.32</v>
      </c>
      <c r="H456" s="54">
        <v>3870.86</v>
      </c>
      <c r="I456" t="s">
        <v>2877</v>
      </c>
      <c r="J456" s="31">
        <v>5077.95</v>
      </c>
      <c r="K456" s="36" t="s">
        <v>2675</v>
      </c>
      <c r="L456" t="s">
        <v>2502</v>
      </c>
      <c r="M456" t="s">
        <v>3487</v>
      </c>
      <c r="N456" t="s">
        <v>1341</v>
      </c>
      <c r="O456" t="s">
        <v>67</v>
      </c>
      <c r="Q456" s="23">
        <v>46281.465614814813</v>
      </c>
      <c r="R456" s="32">
        <f>IF(OR(tbl_de_massas[[#This Row],[dia_vencimento]]="", tbl_de_massas[[#This Row],[dia_vencimento]]="--"), "", WORKDAY(tbl_de_massas[[#This Row],[dia_vencimento]], 5))</f>
        <v>32</v>
      </c>
    </row>
    <row r="457" spans="1:18" x14ac:dyDescent="0.25">
      <c r="A457" t="s">
        <v>3488</v>
      </c>
      <c r="B457" t="s">
        <v>3489</v>
      </c>
      <c r="C457" s="32" t="s">
        <v>608</v>
      </c>
      <c r="D457" t="s">
        <v>3490</v>
      </c>
      <c r="E457" s="54">
        <v>3103.29</v>
      </c>
      <c r="F457" s="54">
        <v>0</v>
      </c>
      <c r="G457" s="54">
        <v>2736.37</v>
      </c>
      <c r="H457" s="54">
        <v>0</v>
      </c>
      <c r="I457" t="s">
        <v>2881</v>
      </c>
      <c r="J457" s="31">
        <v>675.59</v>
      </c>
      <c r="K457" s="36" t="s">
        <v>1306</v>
      </c>
      <c r="L457" t="s">
        <v>2504</v>
      </c>
      <c r="M457" t="s">
        <v>67</v>
      </c>
      <c r="O457" t="s">
        <v>3491</v>
      </c>
      <c r="P457" t="s">
        <v>1341</v>
      </c>
      <c r="Q457" s="23">
        <v>46281.465619016206</v>
      </c>
      <c r="R457" s="32">
        <f>IF(OR(tbl_de_massas[[#This Row],[dia_vencimento]]="", tbl_de_massas[[#This Row],[dia_vencimento]]="--"), "", WORKDAY(tbl_de_massas[[#This Row],[dia_vencimento]], 5))</f>
        <v>27</v>
      </c>
    </row>
    <row r="458" spans="1:18" x14ac:dyDescent="0.25">
      <c r="A458" t="s">
        <v>3492</v>
      </c>
      <c r="B458" t="s">
        <v>3493</v>
      </c>
      <c r="C458" s="32" t="s">
        <v>605</v>
      </c>
      <c r="D458" t="s">
        <v>3494</v>
      </c>
      <c r="E458" s="54">
        <v>11021.9</v>
      </c>
      <c r="F458" s="54">
        <v>719.53</v>
      </c>
      <c r="G458" s="54">
        <v>20716.64</v>
      </c>
      <c r="H458" s="54">
        <v>0</v>
      </c>
      <c r="I458" t="s">
        <v>2881</v>
      </c>
      <c r="J458" s="31">
        <v>719.53</v>
      </c>
      <c r="K458" s="36" t="s">
        <v>1306</v>
      </c>
      <c r="L458" t="s">
        <v>2504</v>
      </c>
      <c r="M458" t="s">
        <v>3495</v>
      </c>
      <c r="N458" t="s">
        <v>1341</v>
      </c>
      <c r="O458" t="s">
        <v>67</v>
      </c>
      <c r="Q458" s="23">
        <v>46281.465622407406</v>
      </c>
      <c r="R458" s="32">
        <f>IF(OR(tbl_de_massas[[#This Row],[dia_vencimento]]="", tbl_de_massas[[#This Row],[dia_vencimento]]="--"), "", WORKDAY(tbl_de_massas[[#This Row],[dia_vencimento]], 5))</f>
        <v>17</v>
      </c>
    </row>
    <row r="459" spans="1:18" x14ac:dyDescent="0.25">
      <c r="A459" t="s">
        <v>3496</v>
      </c>
      <c r="B459" t="s">
        <v>3497</v>
      </c>
      <c r="C459" s="32" t="s">
        <v>607</v>
      </c>
      <c r="D459" t="s">
        <v>3498</v>
      </c>
      <c r="E459" s="54">
        <v>14490.29</v>
      </c>
      <c r="F459" s="54">
        <v>4882.5</v>
      </c>
      <c r="G459" s="54">
        <v>5689.85</v>
      </c>
      <c r="H459" s="54">
        <v>3870.86</v>
      </c>
      <c r="I459" t="s">
        <v>2877</v>
      </c>
      <c r="J459" s="31">
        <v>4882.5</v>
      </c>
      <c r="K459" s="36" t="s">
        <v>2675</v>
      </c>
      <c r="L459" t="s">
        <v>2502</v>
      </c>
      <c r="M459" t="s">
        <v>67</v>
      </c>
      <c r="O459" t="s">
        <v>3499</v>
      </c>
      <c r="P459" t="s">
        <v>1341</v>
      </c>
      <c r="Q459" s="23">
        <v>46281.465625405093</v>
      </c>
      <c r="R459" s="32">
        <f>IF(OR(tbl_de_massas[[#This Row],[dia_vencimento]]="", tbl_de_massas[[#This Row],[dia_vencimento]]="--"), "", WORKDAY(tbl_de_massas[[#This Row],[dia_vencimento]], 5))</f>
        <v>20</v>
      </c>
    </row>
    <row r="460" spans="1:18" x14ac:dyDescent="0.25">
      <c r="A460" t="s">
        <v>3500</v>
      </c>
      <c r="B460" t="s">
        <v>3501</v>
      </c>
      <c r="C460" s="32" t="s">
        <v>605</v>
      </c>
      <c r="D460" t="s">
        <v>3502</v>
      </c>
      <c r="E460" s="54">
        <v>8249.44</v>
      </c>
      <c r="F460" s="54">
        <v>5053.54</v>
      </c>
      <c r="G460" s="54">
        <v>7317.35</v>
      </c>
      <c r="H460" s="54">
        <v>3870.86</v>
      </c>
      <c r="I460" t="s">
        <v>2877</v>
      </c>
      <c r="J460" s="31">
        <v>5053.54</v>
      </c>
      <c r="K460" s="36" t="s">
        <v>2675</v>
      </c>
      <c r="L460" t="s">
        <v>2502</v>
      </c>
      <c r="M460" t="s">
        <v>67</v>
      </c>
      <c r="O460" t="s">
        <v>3503</v>
      </c>
      <c r="P460" t="s">
        <v>1341</v>
      </c>
      <c r="Q460" s="23">
        <v>46281.465628622682</v>
      </c>
      <c r="R460" s="32">
        <f>IF(OR(tbl_de_massas[[#This Row],[dia_vencimento]]="", tbl_de_massas[[#This Row],[dia_vencimento]]="--"), "", WORKDAY(tbl_de_massas[[#This Row],[dia_vencimento]], 5))</f>
        <v>17</v>
      </c>
    </row>
    <row r="461" spans="1:18" x14ac:dyDescent="0.25">
      <c r="A461" t="s">
        <v>3504</v>
      </c>
      <c r="B461" t="s">
        <v>3505</v>
      </c>
      <c r="C461" s="32" t="s">
        <v>611</v>
      </c>
      <c r="D461" t="s">
        <v>3506</v>
      </c>
      <c r="E461" s="54">
        <v>11663.68</v>
      </c>
      <c r="F461" s="54">
        <v>0</v>
      </c>
      <c r="G461" s="54">
        <v>17575.36</v>
      </c>
      <c r="H461" s="54">
        <v>0</v>
      </c>
      <c r="I461" t="s">
        <v>2881</v>
      </c>
      <c r="J461" s="31">
        <v>799.36</v>
      </c>
      <c r="K461" s="36" t="s">
        <v>1306</v>
      </c>
      <c r="L461" t="s">
        <v>2504</v>
      </c>
      <c r="M461" t="s">
        <v>3507</v>
      </c>
      <c r="N461" t="s">
        <v>1345</v>
      </c>
      <c r="O461" t="s">
        <v>3508</v>
      </c>
      <c r="P461" t="s">
        <v>1345</v>
      </c>
      <c r="Q461" s="23">
        <v>46281.465631192128</v>
      </c>
      <c r="R461" s="32">
        <f>IF(OR(tbl_de_massas[[#This Row],[dia_vencimento]]="", tbl_de_massas[[#This Row],[dia_vencimento]]="--"), "", WORKDAY(tbl_de_massas[[#This Row],[dia_vencimento]], 5))</f>
        <v>32</v>
      </c>
    </row>
    <row r="462" spans="1:18" x14ac:dyDescent="0.25">
      <c r="A462" t="s">
        <v>3509</v>
      </c>
      <c r="B462" t="s">
        <v>3510</v>
      </c>
      <c r="C462" s="32" t="s">
        <v>608</v>
      </c>
      <c r="D462" t="s">
        <v>3511</v>
      </c>
      <c r="E462" s="54">
        <v>13131.08</v>
      </c>
      <c r="F462" s="54">
        <v>0</v>
      </c>
      <c r="G462" s="54">
        <v>11410.92</v>
      </c>
      <c r="H462" s="54">
        <v>0</v>
      </c>
      <c r="I462" t="s">
        <v>2881</v>
      </c>
      <c r="J462" s="31">
        <v>745.24</v>
      </c>
      <c r="K462" s="36" t="s">
        <v>1306</v>
      </c>
      <c r="L462" t="s">
        <v>2504</v>
      </c>
      <c r="M462" t="s">
        <v>67</v>
      </c>
      <c r="O462" t="s">
        <v>3512</v>
      </c>
      <c r="P462" t="s">
        <v>1341</v>
      </c>
      <c r="Q462" s="23">
        <v>46281.46563402778</v>
      </c>
      <c r="R462" s="32">
        <f>IF(OR(tbl_de_massas[[#This Row],[dia_vencimento]]="", tbl_de_massas[[#This Row],[dia_vencimento]]="--"), "", WORKDAY(tbl_de_massas[[#This Row],[dia_vencimento]], 5))</f>
        <v>27</v>
      </c>
    </row>
    <row r="463" spans="1:18" x14ac:dyDescent="0.25">
      <c r="A463" t="s">
        <v>3513</v>
      </c>
      <c r="B463" t="s">
        <v>3514</v>
      </c>
      <c r="C463" s="32" t="s">
        <v>608</v>
      </c>
      <c r="D463" t="s">
        <v>3515</v>
      </c>
      <c r="E463" s="54">
        <v>13139.01</v>
      </c>
      <c r="F463" s="54">
        <v>4689.67</v>
      </c>
      <c r="G463" s="54">
        <v>9342.6200000000008</v>
      </c>
      <c r="H463" s="54">
        <v>3870.86</v>
      </c>
      <c r="I463" t="s">
        <v>2877</v>
      </c>
      <c r="J463" s="31">
        <v>4689.67</v>
      </c>
      <c r="K463" s="36" t="s">
        <v>2675</v>
      </c>
      <c r="L463" t="s">
        <v>2502</v>
      </c>
      <c r="M463" t="s">
        <v>3516</v>
      </c>
      <c r="N463" t="s">
        <v>1341</v>
      </c>
      <c r="O463" t="s">
        <v>3517</v>
      </c>
      <c r="P463" t="s">
        <v>1341</v>
      </c>
      <c r="Q463" s="23">
        <v>46281.465636273148</v>
      </c>
      <c r="R463" s="32">
        <f>IF(OR(tbl_de_massas[[#This Row],[dia_vencimento]]="", tbl_de_massas[[#This Row],[dia_vencimento]]="--"), "", WORKDAY(tbl_de_massas[[#This Row],[dia_vencimento]], 5))</f>
        <v>27</v>
      </c>
    </row>
    <row r="464" spans="1:18" x14ac:dyDescent="0.25">
      <c r="A464" t="s">
        <v>3518</v>
      </c>
      <c r="B464" t="s">
        <v>3519</v>
      </c>
      <c r="C464" s="32" t="s">
        <v>608</v>
      </c>
      <c r="D464" t="s">
        <v>3520</v>
      </c>
      <c r="E464" s="54">
        <v>3267.47</v>
      </c>
      <c r="F464" s="54">
        <v>442.31</v>
      </c>
      <c r="G464" s="54">
        <v>5487.17</v>
      </c>
      <c r="H464" s="54">
        <v>0</v>
      </c>
      <c r="I464" t="s">
        <v>2881</v>
      </c>
      <c r="J464" s="31">
        <v>995.19</v>
      </c>
      <c r="K464" s="36" t="s">
        <v>1306</v>
      </c>
      <c r="L464" t="s">
        <v>2504</v>
      </c>
      <c r="M464" t="s">
        <v>3521</v>
      </c>
      <c r="N464" t="s">
        <v>1341</v>
      </c>
      <c r="O464" t="s">
        <v>67</v>
      </c>
      <c r="Q464" s="23">
        <v>46281.465638842594</v>
      </c>
      <c r="R464" s="32">
        <f>IF(OR(tbl_de_massas[[#This Row],[dia_vencimento]]="", tbl_de_massas[[#This Row],[dia_vencimento]]="--"), "", WORKDAY(tbl_de_massas[[#This Row],[dia_vencimento]], 5))</f>
        <v>27</v>
      </c>
    </row>
    <row r="465" spans="1:18" x14ac:dyDescent="0.25">
      <c r="A465" t="s">
        <v>3522</v>
      </c>
      <c r="B465" t="s">
        <v>3523</v>
      </c>
      <c r="C465" s="32" t="s">
        <v>607</v>
      </c>
      <c r="D465" t="s">
        <v>3524</v>
      </c>
      <c r="E465" s="54">
        <v>2097.19</v>
      </c>
      <c r="F465" s="54">
        <v>301.27999999999997</v>
      </c>
      <c r="G465" s="54">
        <v>4741.99</v>
      </c>
      <c r="H465" s="54">
        <v>0</v>
      </c>
      <c r="I465" t="s">
        <v>2881</v>
      </c>
      <c r="J465" s="31">
        <v>451.92</v>
      </c>
      <c r="K465" s="36" t="s">
        <v>1306</v>
      </c>
      <c r="L465" t="s">
        <v>2504</v>
      </c>
      <c r="M465" t="s">
        <v>3525</v>
      </c>
      <c r="N465" t="s">
        <v>1341</v>
      </c>
      <c r="O465" t="s">
        <v>3526</v>
      </c>
      <c r="P465" t="s">
        <v>1341</v>
      </c>
      <c r="Q465" s="23">
        <v>46281.46564101852</v>
      </c>
      <c r="R465" s="32">
        <f>IF(OR(tbl_de_massas[[#This Row],[dia_vencimento]]="", tbl_de_massas[[#This Row],[dia_vencimento]]="--"), "", WORKDAY(tbl_de_massas[[#This Row],[dia_vencimento]], 5))</f>
        <v>20</v>
      </c>
    </row>
    <row r="466" spans="1:18" x14ac:dyDescent="0.25">
      <c r="A466" t="s">
        <v>3527</v>
      </c>
      <c r="B466" t="s">
        <v>3528</v>
      </c>
      <c r="C466" s="32" t="s">
        <v>5827</v>
      </c>
      <c r="D466" t="s">
        <v>3529</v>
      </c>
      <c r="E466" s="54">
        <v>4481.22</v>
      </c>
      <c r="F466" s="54">
        <v>4737.21</v>
      </c>
      <c r="G466" s="54">
        <v>15609.61</v>
      </c>
      <c r="H466" s="54">
        <v>3870.86</v>
      </c>
      <c r="I466" t="s">
        <v>2877</v>
      </c>
      <c r="J466" s="31">
        <v>4737.21</v>
      </c>
      <c r="K466" s="36" t="s">
        <v>2675</v>
      </c>
      <c r="L466" t="s">
        <v>2502</v>
      </c>
      <c r="M466" t="s">
        <v>3530</v>
      </c>
      <c r="N466" t="s">
        <v>1341</v>
      </c>
      <c r="O466" t="s">
        <v>67</v>
      </c>
      <c r="Q466" s="23">
        <v>46281.465642858799</v>
      </c>
      <c r="R466" s="32">
        <f>IF(OR(tbl_de_massas[[#This Row],[dia_vencimento]]="", tbl_de_massas[[#This Row],[dia_vencimento]]="--"), "", WORKDAY(tbl_de_massas[[#This Row],[dia_vencimento]], 5))</f>
        <v>12</v>
      </c>
    </row>
    <row r="467" spans="1:18" x14ac:dyDescent="0.25">
      <c r="A467" t="s">
        <v>3531</v>
      </c>
      <c r="B467" t="s">
        <v>3532</v>
      </c>
      <c r="C467" s="32" t="s">
        <v>608</v>
      </c>
      <c r="D467" t="s">
        <v>3533</v>
      </c>
      <c r="E467" s="54">
        <v>4696.53</v>
      </c>
      <c r="F467" s="54">
        <v>5082.74</v>
      </c>
      <c r="G467" s="54">
        <v>16813.7</v>
      </c>
      <c r="H467" s="54">
        <v>3870.86</v>
      </c>
      <c r="I467" t="s">
        <v>2877</v>
      </c>
      <c r="J467" s="31">
        <v>5082.74</v>
      </c>
      <c r="K467" s="36" t="s">
        <v>2675</v>
      </c>
      <c r="L467" t="s">
        <v>2502</v>
      </c>
      <c r="M467" t="s">
        <v>67</v>
      </c>
      <c r="O467" t="s">
        <v>3534</v>
      </c>
      <c r="P467" t="s">
        <v>1341</v>
      </c>
      <c r="Q467" s="23">
        <v>46281.465645046294</v>
      </c>
      <c r="R467" s="32">
        <f>IF(OR(tbl_de_massas[[#This Row],[dia_vencimento]]="", tbl_de_massas[[#This Row],[dia_vencimento]]="--"), "", WORKDAY(tbl_de_massas[[#This Row],[dia_vencimento]], 5))</f>
        <v>27</v>
      </c>
    </row>
    <row r="468" spans="1:18" x14ac:dyDescent="0.25">
      <c r="A468" t="s">
        <v>3535</v>
      </c>
      <c r="B468" t="s">
        <v>3536</v>
      </c>
      <c r="C468" s="32" t="s">
        <v>607</v>
      </c>
      <c r="D468" t="s">
        <v>3537</v>
      </c>
      <c r="E468" s="54">
        <v>5034.53</v>
      </c>
      <c r="F468" s="54">
        <v>4830.78</v>
      </c>
      <c r="G468" s="54">
        <v>9118.16</v>
      </c>
      <c r="H468" s="54">
        <v>3870.86</v>
      </c>
      <c r="I468" t="s">
        <v>2877</v>
      </c>
      <c r="J468" s="31">
        <v>4830.78</v>
      </c>
      <c r="K468" s="36" t="s">
        <v>2675</v>
      </c>
      <c r="L468" t="s">
        <v>2502</v>
      </c>
      <c r="M468" t="s">
        <v>3538</v>
      </c>
      <c r="N468" t="s">
        <v>1345</v>
      </c>
      <c r="O468" t="s">
        <v>67</v>
      </c>
      <c r="Q468" s="23">
        <v>46281.465647673613</v>
      </c>
      <c r="R468" s="32">
        <f>IF(OR(tbl_de_massas[[#This Row],[dia_vencimento]]="", tbl_de_massas[[#This Row],[dia_vencimento]]="--"), "", WORKDAY(tbl_de_massas[[#This Row],[dia_vencimento]], 5))</f>
        <v>20</v>
      </c>
    </row>
    <row r="469" spans="1:18" x14ac:dyDescent="0.25">
      <c r="A469" t="s">
        <v>3539</v>
      </c>
      <c r="B469" t="s">
        <v>3540</v>
      </c>
      <c r="C469" s="32" t="s">
        <v>611</v>
      </c>
      <c r="D469" t="s">
        <v>3541</v>
      </c>
      <c r="E469" s="54">
        <v>7643.68</v>
      </c>
      <c r="F469" s="54">
        <v>0</v>
      </c>
      <c r="G469" s="54">
        <v>13498.68</v>
      </c>
      <c r="H469" s="54">
        <v>0</v>
      </c>
      <c r="I469" t="s">
        <v>2881</v>
      </c>
      <c r="J469" s="31">
        <v>772.4</v>
      </c>
      <c r="K469" s="36" t="s">
        <v>1306</v>
      </c>
      <c r="L469" t="s">
        <v>2504</v>
      </c>
      <c r="M469" t="s">
        <v>67</v>
      </c>
      <c r="O469" t="s">
        <v>3542</v>
      </c>
      <c r="P469" t="s">
        <v>1341</v>
      </c>
      <c r="Q469" s="23">
        <v>46281.46564991898</v>
      </c>
      <c r="R469" s="32">
        <f>IF(OR(tbl_de_massas[[#This Row],[dia_vencimento]]="", tbl_de_massas[[#This Row],[dia_vencimento]]="--"), "", WORKDAY(tbl_de_massas[[#This Row],[dia_vencimento]], 5))</f>
        <v>32</v>
      </c>
    </row>
    <row r="470" spans="1:18" x14ac:dyDescent="0.25">
      <c r="A470" t="s">
        <v>3543</v>
      </c>
      <c r="B470" t="s">
        <v>3544</v>
      </c>
      <c r="C470" s="32" t="s">
        <v>5827</v>
      </c>
      <c r="D470" t="s">
        <v>3545</v>
      </c>
      <c r="E470" s="54">
        <v>4681.8100000000004</v>
      </c>
      <c r="F470" s="54">
        <v>4718.6400000000003</v>
      </c>
      <c r="G470" s="54">
        <v>998.91</v>
      </c>
      <c r="H470" s="54">
        <v>3870.86</v>
      </c>
      <c r="I470" t="s">
        <v>2877</v>
      </c>
      <c r="J470" s="31">
        <v>4718.6400000000003</v>
      </c>
      <c r="K470" s="36" t="s">
        <v>2675</v>
      </c>
      <c r="L470" t="s">
        <v>2502</v>
      </c>
      <c r="M470" t="s">
        <v>3546</v>
      </c>
      <c r="N470" t="s">
        <v>1341</v>
      </c>
      <c r="O470" t="s">
        <v>67</v>
      </c>
      <c r="Q470" s="23">
        <v>46281.465652037034</v>
      </c>
      <c r="R470" s="32">
        <f>IF(OR(tbl_de_massas[[#This Row],[dia_vencimento]]="", tbl_de_massas[[#This Row],[dia_vencimento]]="--"), "", WORKDAY(tbl_de_massas[[#This Row],[dia_vencimento]], 5))</f>
        <v>12</v>
      </c>
    </row>
    <row r="471" spans="1:18" x14ac:dyDescent="0.25">
      <c r="A471" t="s">
        <v>3547</v>
      </c>
      <c r="B471" t="s">
        <v>3548</v>
      </c>
      <c r="C471" s="32" t="s">
        <v>608</v>
      </c>
      <c r="D471" t="s">
        <v>3549</v>
      </c>
      <c r="E471" s="54">
        <v>8025.81</v>
      </c>
      <c r="F471" s="54">
        <v>0</v>
      </c>
      <c r="G471" s="54">
        <v>9481.32</v>
      </c>
      <c r="H471" s="54">
        <v>0</v>
      </c>
      <c r="I471" t="s">
        <v>2881</v>
      </c>
      <c r="J471" s="31">
        <v>970.16</v>
      </c>
      <c r="K471" s="36" t="s">
        <v>1306</v>
      </c>
      <c r="L471" t="s">
        <v>2504</v>
      </c>
      <c r="M471" t="s">
        <v>3550</v>
      </c>
      <c r="N471" t="s">
        <v>1341</v>
      </c>
      <c r="O471" t="s">
        <v>67</v>
      </c>
      <c r="Q471" s="23">
        <v>46281.465654571759</v>
      </c>
      <c r="R471" s="32">
        <f>IF(OR(tbl_de_massas[[#This Row],[dia_vencimento]]="", tbl_de_massas[[#This Row],[dia_vencimento]]="--"), "", WORKDAY(tbl_de_massas[[#This Row],[dia_vencimento]], 5))</f>
        <v>27</v>
      </c>
    </row>
    <row r="472" spans="1:18" x14ac:dyDescent="0.25">
      <c r="A472" t="s">
        <v>3551</v>
      </c>
      <c r="B472" t="s">
        <v>3552</v>
      </c>
      <c r="C472" s="32" t="s">
        <v>607</v>
      </c>
      <c r="D472" t="s">
        <v>3553</v>
      </c>
      <c r="E472" s="54">
        <v>3646.2</v>
      </c>
      <c r="F472" s="54">
        <v>501.35</v>
      </c>
      <c r="G472" s="54">
        <v>9964.33</v>
      </c>
      <c r="H472" s="54">
        <v>0</v>
      </c>
      <c r="I472" t="s">
        <v>2881</v>
      </c>
      <c r="J472" s="31">
        <v>501.35</v>
      </c>
      <c r="K472" s="36" t="s">
        <v>1306</v>
      </c>
      <c r="L472" t="s">
        <v>2504</v>
      </c>
      <c r="M472" t="s">
        <v>67</v>
      </c>
      <c r="O472" t="s">
        <v>3554</v>
      </c>
      <c r="P472" t="s">
        <v>1341</v>
      </c>
      <c r="Q472" s="23">
        <v>46281.465656354165</v>
      </c>
      <c r="R472" s="32">
        <f>IF(OR(tbl_de_massas[[#This Row],[dia_vencimento]]="", tbl_de_massas[[#This Row],[dia_vencimento]]="--"), "", WORKDAY(tbl_de_massas[[#This Row],[dia_vencimento]], 5))</f>
        <v>20</v>
      </c>
    </row>
    <row r="473" spans="1:18" x14ac:dyDescent="0.25">
      <c r="A473" t="s">
        <v>3555</v>
      </c>
      <c r="B473" t="s">
        <v>3556</v>
      </c>
      <c r="C473" s="32" t="s">
        <v>608</v>
      </c>
      <c r="D473" t="s">
        <v>3557</v>
      </c>
      <c r="E473" s="54">
        <v>12646.4</v>
      </c>
      <c r="F473" s="54">
        <v>234.82</v>
      </c>
      <c r="G473" s="54">
        <v>14780.76</v>
      </c>
      <c r="H473" s="54">
        <v>0</v>
      </c>
      <c r="I473" t="s">
        <v>2881</v>
      </c>
      <c r="J473" s="31">
        <v>528.35</v>
      </c>
      <c r="K473" s="36" t="s">
        <v>1306</v>
      </c>
      <c r="L473" t="s">
        <v>2504</v>
      </c>
      <c r="M473" t="s">
        <v>3558</v>
      </c>
      <c r="N473" t="s">
        <v>1341</v>
      </c>
      <c r="O473" t="s">
        <v>3559</v>
      </c>
      <c r="P473" t="s">
        <v>1341</v>
      </c>
      <c r="Q473" s="23">
        <v>46281.465658310182</v>
      </c>
      <c r="R473" s="32">
        <f>IF(OR(tbl_de_massas[[#This Row],[dia_vencimento]]="", tbl_de_massas[[#This Row],[dia_vencimento]]="--"), "", WORKDAY(tbl_de_massas[[#This Row],[dia_vencimento]], 5))</f>
        <v>27</v>
      </c>
    </row>
    <row r="474" spans="1:18" x14ac:dyDescent="0.25">
      <c r="A474" t="s">
        <v>3560</v>
      </c>
      <c r="B474" t="s">
        <v>3561</v>
      </c>
      <c r="C474" s="32" t="s">
        <v>608</v>
      </c>
      <c r="D474" t="s">
        <v>3562</v>
      </c>
      <c r="E474" s="54">
        <v>13081.6</v>
      </c>
      <c r="F474" s="54">
        <v>4632.97</v>
      </c>
      <c r="G474" s="54">
        <v>12689.54</v>
      </c>
      <c r="H474" s="54">
        <v>3870.86</v>
      </c>
      <c r="I474" t="s">
        <v>2877</v>
      </c>
      <c r="J474" s="31">
        <v>4632.97</v>
      </c>
      <c r="K474" s="36" t="s">
        <v>2675</v>
      </c>
      <c r="L474" t="s">
        <v>2502</v>
      </c>
      <c r="M474" t="s">
        <v>3563</v>
      </c>
      <c r="N474" t="s">
        <v>1345</v>
      </c>
      <c r="O474" t="s">
        <v>67</v>
      </c>
      <c r="Q474" s="23">
        <v>46281.465660162037</v>
      </c>
      <c r="R474" s="32">
        <f>IF(OR(tbl_de_massas[[#This Row],[dia_vencimento]]="", tbl_de_massas[[#This Row],[dia_vencimento]]="--"), "", WORKDAY(tbl_de_massas[[#This Row],[dia_vencimento]], 5))</f>
        <v>27</v>
      </c>
    </row>
    <row r="475" spans="1:18" x14ac:dyDescent="0.25">
      <c r="A475" t="s">
        <v>3564</v>
      </c>
      <c r="B475" t="s">
        <v>3565</v>
      </c>
      <c r="C475" s="32" t="s">
        <v>608</v>
      </c>
      <c r="D475" t="s">
        <v>3566</v>
      </c>
      <c r="E475" s="54">
        <v>2649.31</v>
      </c>
      <c r="F475" s="54">
        <v>4645.8599999999997</v>
      </c>
      <c r="G475" s="54">
        <v>11256.32</v>
      </c>
      <c r="H475" s="54">
        <v>3870.86</v>
      </c>
      <c r="I475" t="s">
        <v>2877</v>
      </c>
      <c r="J475" s="31">
        <v>4645.8599999999997</v>
      </c>
      <c r="K475" s="36" t="s">
        <v>2675</v>
      </c>
      <c r="L475" t="s">
        <v>2502</v>
      </c>
      <c r="M475" t="s">
        <v>3567</v>
      </c>
      <c r="N475" t="s">
        <v>1341</v>
      </c>
      <c r="O475" t="s">
        <v>3568</v>
      </c>
      <c r="P475" t="s">
        <v>1341</v>
      </c>
      <c r="Q475" s="23">
        <v>46281.46566238426</v>
      </c>
      <c r="R475" s="32">
        <f>IF(OR(tbl_de_massas[[#This Row],[dia_vencimento]]="", tbl_de_massas[[#This Row],[dia_vencimento]]="--"), "", WORKDAY(tbl_de_massas[[#This Row],[dia_vencimento]], 5))</f>
        <v>27</v>
      </c>
    </row>
    <row r="476" spans="1:18" x14ac:dyDescent="0.25">
      <c r="A476" t="s">
        <v>3569</v>
      </c>
      <c r="B476" t="s">
        <v>3570</v>
      </c>
      <c r="C476" s="32" t="s">
        <v>611</v>
      </c>
      <c r="D476" t="s">
        <v>3571</v>
      </c>
      <c r="E476" s="54">
        <v>14511.45</v>
      </c>
      <c r="F476" s="54">
        <v>0</v>
      </c>
      <c r="G476" s="54">
        <v>20390.740000000002</v>
      </c>
      <c r="H476" s="54">
        <v>0</v>
      </c>
      <c r="I476" t="s">
        <v>2881</v>
      </c>
      <c r="J476" s="31">
        <v>792.25</v>
      </c>
      <c r="K476" s="36" t="s">
        <v>1306</v>
      </c>
      <c r="L476" t="s">
        <v>2504</v>
      </c>
      <c r="M476" t="s">
        <v>67</v>
      </c>
      <c r="O476" t="s">
        <v>3572</v>
      </c>
      <c r="P476" t="s">
        <v>1341</v>
      </c>
      <c r="Q476" s="23">
        <v>46281.465665543983</v>
      </c>
      <c r="R476" s="32">
        <f>IF(OR(tbl_de_massas[[#This Row],[dia_vencimento]]="", tbl_de_massas[[#This Row],[dia_vencimento]]="--"), "", WORKDAY(tbl_de_massas[[#This Row],[dia_vencimento]], 5))</f>
        <v>32</v>
      </c>
    </row>
    <row r="477" spans="1:18" x14ac:dyDescent="0.25">
      <c r="A477" t="s">
        <v>3573</v>
      </c>
      <c r="B477" t="s">
        <v>3574</v>
      </c>
      <c r="C477" s="32" t="s">
        <v>607</v>
      </c>
      <c r="D477" t="s">
        <v>3575</v>
      </c>
      <c r="E477" s="54">
        <v>9997.3700000000008</v>
      </c>
      <c r="F477" s="54">
        <v>4871.21</v>
      </c>
      <c r="G477" s="54">
        <v>12201.15</v>
      </c>
      <c r="H477" s="54">
        <v>3870.86</v>
      </c>
      <c r="I477" t="s">
        <v>2877</v>
      </c>
      <c r="J477" s="31">
        <v>4871.21</v>
      </c>
      <c r="K477" s="36" t="s">
        <v>2675</v>
      </c>
      <c r="L477" t="s">
        <v>2502</v>
      </c>
      <c r="M477" t="s">
        <v>67</v>
      </c>
      <c r="O477" t="s">
        <v>3576</v>
      </c>
      <c r="P477" t="s">
        <v>1345</v>
      </c>
      <c r="Q477" s="23">
        <v>46281.465667962962</v>
      </c>
      <c r="R477" s="32">
        <f>IF(OR(tbl_de_massas[[#This Row],[dia_vencimento]]="", tbl_de_massas[[#This Row],[dia_vencimento]]="--"), "", WORKDAY(tbl_de_massas[[#This Row],[dia_vencimento]], 5))</f>
        <v>20</v>
      </c>
    </row>
    <row r="478" spans="1:18" x14ac:dyDescent="0.25">
      <c r="A478" t="s">
        <v>3577</v>
      </c>
      <c r="B478" t="s">
        <v>3578</v>
      </c>
      <c r="C478" s="32" t="s">
        <v>5827</v>
      </c>
      <c r="D478" t="s">
        <v>3579</v>
      </c>
      <c r="E478" s="54">
        <v>600.05999999999995</v>
      </c>
      <c r="F478" s="54">
        <v>882.45</v>
      </c>
      <c r="G478" s="54">
        <v>19614.52</v>
      </c>
      <c r="H478" s="54">
        <v>0</v>
      </c>
      <c r="I478" t="s">
        <v>2881</v>
      </c>
      <c r="J478" s="31">
        <v>882.45</v>
      </c>
      <c r="K478" s="36" t="s">
        <v>1306</v>
      </c>
      <c r="L478" t="s">
        <v>2504</v>
      </c>
      <c r="M478" t="s">
        <v>67</v>
      </c>
      <c r="O478" t="s">
        <v>3580</v>
      </c>
      <c r="P478" t="s">
        <v>1341</v>
      </c>
      <c r="Q478" s="23">
        <v>46281.465671342594</v>
      </c>
      <c r="R478" s="32">
        <f>IF(OR(tbl_de_massas[[#This Row],[dia_vencimento]]="", tbl_de_massas[[#This Row],[dia_vencimento]]="--"), "", WORKDAY(tbl_de_massas[[#This Row],[dia_vencimento]], 5))</f>
        <v>12</v>
      </c>
    </row>
    <row r="479" spans="1:18" x14ac:dyDescent="0.25">
      <c r="A479" t="s">
        <v>3581</v>
      </c>
      <c r="B479" t="s">
        <v>3582</v>
      </c>
      <c r="C479" s="32" t="s">
        <v>605</v>
      </c>
      <c r="D479" t="s">
        <v>3583</v>
      </c>
      <c r="E479" s="54">
        <v>9900.4</v>
      </c>
      <c r="F479" s="54">
        <v>873.55</v>
      </c>
      <c r="G479" s="54">
        <v>15357.76</v>
      </c>
      <c r="H479" s="54">
        <v>0</v>
      </c>
      <c r="I479" t="s">
        <v>2881</v>
      </c>
      <c r="J479" s="31">
        <v>873.55</v>
      </c>
      <c r="K479" s="36" t="s">
        <v>1306</v>
      </c>
      <c r="L479" t="s">
        <v>2504</v>
      </c>
      <c r="M479" t="s">
        <v>3584</v>
      </c>
      <c r="N479" t="s">
        <v>1341</v>
      </c>
      <c r="O479" t="s">
        <v>67</v>
      </c>
      <c r="Q479" s="23">
        <v>46281.465674050924</v>
      </c>
      <c r="R479" s="32">
        <f>IF(OR(tbl_de_massas[[#This Row],[dia_vencimento]]="", tbl_de_massas[[#This Row],[dia_vencimento]]="--"), "", WORKDAY(tbl_de_massas[[#This Row],[dia_vencimento]], 5))</f>
        <v>17</v>
      </c>
    </row>
    <row r="480" spans="1:18" x14ac:dyDescent="0.25">
      <c r="A480" t="s">
        <v>3585</v>
      </c>
      <c r="B480" t="s">
        <v>3586</v>
      </c>
      <c r="C480" s="32" t="s">
        <v>605</v>
      </c>
      <c r="D480" t="s">
        <v>3587</v>
      </c>
      <c r="E480" s="54">
        <v>5367.81</v>
      </c>
      <c r="F480" s="54">
        <v>5029.71</v>
      </c>
      <c r="G480" s="54">
        <v>6878.97</v>
      </c>
      <c r="H480" s="54">
        <v>3870.86</v>
      </c>
      <c r="I480" t="s">
        <v>2877</v>
      </c>
      <c r="J480" s="31">
        <v>5029.71</v>
      </c>
      <c r="K480" s="36" t="s">
        <v>2675</v>
      </c>
      <c r="L480" t="s">
        <v>2502</v>
      </c>
      <c r="M480" t="s">
        <v>67</v>
      </c>
      <c r="O480" t="s">
        <v>3588</v>
      </c>
      <c r="P480" t="s">
        <v>1341</v>
      </c>
      <c r="Q480" s="23">
        <v>46281.46567740741</v>
      </c>
      <c r="R480" s="32">
        <f>IF(OR(tbl_de_massas[[#This Row],[dia_vencimento]]="", tbl_de_massas[[#This Row],[dia_vencimento]]="--"), "", WORKDAY(tbl_de_massas[[#This Row],[dia_vencimento]], 5))</f>
        <v>17</v>
      </c>
    </row>
    <row r="481" spans="1:18" x14ac:dyDescent="0.25">
      <c r="A481" t="s">
        <v>3589</v>
      </c>
      <c r="B481" t="s">
        <v>3590</v>
      </c>
      <c r="C481" s="32" t="s">
        <v>607</v>
      </c>
      <c r="D481" t="s">
        <v>3591</v>
      </c>
      <c r="E481" s="54">
        <v>11899.13</v>
      </c>
      <c r="F481" s="54">
        <v>5068.95</v>
      </c>
      <c r="G481" s="54">
        <v>2805.14</v>
      </c>
      <c r="H481" s="54">
        <v>3870.86</v>
      </c>
      <c r="I481" t="s">
        <v>2877</v>
      </c>
      <c r="J481" s="31">
        <v>5068.95</v>
      </c>
      <c r="K481" s="36" t="s">
        <v>2675</v>
      </c>
      <c r="L481" t="s">
        <v>2502</v>
      </c>
      <c r="M481" t="s">
        <v>3592</v>
      </c>
      <c r="N481" t="s">
        <v>1341</v>
      </c>
      <c r="O481" t="s">
        <v>3593</v>
      </c>
      <c r="P481" t="s">
        <v>1341</v>
      </c>
      <c r="Q481" s="23">
        <v>46281.465680057867</v>
      </c>
      <c r="R481" s="32">
        <f>IF(OR(tbl_de_massas[[#This Row],[dia_vencimento]]="", tbl_de_massas[[#This Row],[dia_vencimento]]="--"), "", WORKDAY(tbl_de_massas[[#This Row],[dia_vencimento]], 5))</f>
        <v>20</v>
      </c>
    </row>
    <row r="482" spans="1:18" x14ac:dyDescent="0.25">
      <c r="A482" t="s">
        <v>3594</v>
      </c>
      <c r="B482" t="s">
        <v>3595</v>
      </c>
      <c r="C482" s="32" t="s">
        <v>611</v>
      </c>
      <c r="D482" t="s">
        <v>3596</v>
      </c>
      <c r="E482" s="54">
        <v>5362.43</v>
      </c>
      <c r="F482" s="54">
        <v>0</v>
      </c>
      <c r="G482" s="54">
        <v>8314.7900000000009</v>
      </c>
      <c r="H482" s="54">
        <v>0</v>
      </c>
      <c r="I482" t="s">
        <v>2881</v>
      </c>
      <c r="J482" s="31">
        <v>673.62</v>
      </c>
      <c r="K482" s="36" t="s">
        <v>1306</v>
      </c>
      <c r="L482" t="s">
        <v>2504</v>
      </c>
      <c r="M482" t="s">
        <v>3597</v>
      </c>
      <c r="N482" t="s">
        <v>1341</v>
      </c>
      <c r="O482" t="s">
        <v>3598</v>
      </c>
      <c r="P482" t="s">
        <v>1341</v>
      </c>
      <c r="Q482" s="23">
        <v>46281.465682951391</v>
      </c>
      <c r="R482" s="32">
        <f>IF(OR(tbl_de_massas[[#This Row],[dia_vencimento]]="", tbl_de_massas[[#This Row],[dia_vencimento]]="--"), "", WORKDAY(tbl_de_massas[[#This Row],[dia_vencimento]], 5))</f>
        <v>32</v>
      </c>
    </row>
    <row r="483" spans="1:18" x14ac:dyDescent="0.25">
      <c r="A483" t="s">
        <v>3599</v>
      </c>
      <c r="B483" t="s">
        <v>3600</v>
      </c>
      <c r="C483" s="32" t="s">
        <v>605</v>
      </c>
      <c r="D483" t="s">
        <v>3601</v>
      </c>
      <c r="E483" s="54">
        <v>3999.26</v>
      </c>
      <c r="F483" s="54">
        <v>635.4</v>
      </c>
      <c r="G483" s="54">
        <v>18787.29</v>
      </c>
      <c r="H483" s="54">
        <v>0</v>
      </c>
      <c r="I483" t="s">
        <v>2881</v>
      </c>
      <c r="J483" s="31">
        <v>635.4</v>
      </c>
      <c r="K483" s="36" t="s">
        <v>1306</v>
      </c>
      <c r="L483" t="s">
        <v>2504</v>
      </c>
      <c r="M483" t="s">
        <v>3602</v>
      </c>
      <c r="N483" t="s">
        <v>1341</v>
      </c>
      <c r="O483" t="s">
        <v>3603</v>
      </c>
      <c r="P483" t="s">
        <v>1341</v>
      </c>
      <c r="Q483" s="23">
        <v>46281.465685011572</v>
      </c>
      <c r="R483" s="32">
        <f>IF(OR(tbl_de_massas[[#This Row],[dia_vencimento]]="", tbl_de_massas[[#This Row],[dia_vencimento]]="--"), "", WORKDAY(tbl_de_massas[[#This Row],[dia_vencimento]], 5))</f>
        <v>17</v>
      </c>
    </row>
    <row r="484" spans="1:18" x14ac:dyDescent="0.25">
      <c r="A484" t="s">
        <v>3604</v>
      </c>
      <c r="B484" t="s">
        <v>3605</v>
      </c>
      <c r="C484" s="32" t="s">
        <v>611</v>
      </c>
      <c r="D484" t="s">
        <v>3606</v>
      </c>
      <c r="E484" s="54">
        <v>10435.9</v>
      </c>
      <c r="F484" s="54">
        <v>5083.16</v>
      </c>
      <c r="G484" s="54">
        <v>-1661.59</v>
      </c>
      <c r="H484" s="54">
        <v>3870.86</v>
      </c>
      <c r="I484" t="s">
        <v>2877</v>
      </c>
      <c r="J484" s="31">
        <v>5083.16</v>
      </c>
      <c r="K484" s="36" t="s">
        <v>2675</v>
      </c>
      <c r="L484" t="s">
        <v>2502</v>
      </c>
      <c r="M484" t="s">
        <v>67</v>
      </c>
      <c r="O484" t="s">
        <v>3607</v>
      </c>
      <c r="P484" t="s">
        <v>1341</v>
      </c>
      <c r="Q484" s="23">
        <v>46281.465687418982</v>
      </c>
      <c r="R484" s="32">
        <f>IF(OR(tbl_de_massas[[#This Row],[dia_vencimento]]="", tbl_de_massas[[#This Row],[dia_vencimento]]="--"), "", WORKDAY(tbl_de_massas[[#This Row],[dia_vencimento]], 5))</f>
        <v>32</v>
      </c>
    </row>
    <row r="485" spans="1:18" x14ac:dyDescent="0.25">
      <c r="A485" t="s">
        <v>3608</v>
      </c>
      <c r="B485" t="s">
        <v>3609</v>
      </c>
      <c r="C485" s="32" t="s">
        <v>607</v>
      </c>
      <c r="D485" t="s">
        <v>3610</v>
      </c>
      <c r="E485" s="54">
        <v>15277.85</v>
      </c>
      <c r="F485" s="54">
        <v>4836.37</v>
      </c>
      <c r="G485" s="54">
        <v>6135.86</v>
      </c>
      <c r="H485" s="54">
        <v>3870.86</v>
      </c>
      <c r="I485" t="s">
        <v>2877</v>
      </c>
      <c r="J485" s="31">
        <v>4836.37</v>
      </c>
      <c r="K485" s="36" t="s">
        <v>2675</v>
      </c>
      <c r="L485" t="s">
        <v>2502</v>
      </c>
      <c r="M485" t="s">
        <v>67</v>
      </c>
      <c r="O485" t="s">
        <v>3611</v>
      </c>
      <c r="P485" t="s">
        <v>1345</v>
      </c>
      <c r="Q485" s="23">
        <v>46281.465689675926</v>
      </c>
      <c r="R485" s="32">
        <f>IF(OR(tbl_de_massas[[#This Row],[dia_vencimento]]="", tbl_de_massas[[#This Row],[dia_vencimento]]="--"), "", WORKDAY(tbl_de_massas[[#This Row],[dia_vencimento]], 5))</f>
        <v>20</v>
      </c>
    </row>
    <row r="486" spans="1:18" x14ac:dyDescent="0.25">
      <c r="A486" t="s">
        <v>3612</v>
      </c>
      <c r="B486" t="s">
        <v>3613</v>
      </c>
      <c r="C486" s="32" t="s">
        <v>608</v>
      </c>
      <c r="D486" t="s">
        <v>3614</v>
      </c>
      <c r="E486" s="54">
        <v>5781.81</v>
      </c>
      <c r="F486" s="54">
        <v>0</v>
      </c>
      <c r="G486" s="54">
        <v>21847.69</v>
      </c>
      <c r="H486" s="54">
        <v>0</v>
      </c>
      <c r="I486" t="s">
        <v>2881</v>
      </c>
      <c r="J486" s="31">
        <v>490.79</v>
      </c>
      <c r="K486" s="36" t="s">
        <v>1306</v>
      </c>
      <c r="L486" t="s">
        <v>2504</v>
      </c>
      <c r="M486" t="s">
        <v>3615</v>
      </c>
      <c r="N486" t="s">
        <v>1341</v>
      </c>
      <c r="O486" t="s">
        <v>3616</v>
      </c>
      <c r="P486" t="s">
        <v>1341</v>
      </c>
      <c r="Q486" s="23">
        <v>46281.465692233796</v>
      </c>
      <c r="R486" s="32">
        <f>IF(OR(tbl_de_massas[[#This Row],[dia_vencimento]]="", tbl_de_massas[[#This Row],[dia_vencimento]]="--"), "", WORKDAY(tbl_de_massas[[#This Row],[dia_vencimento]], 5))</f>
        <v>27</v>
      </c>
    </row>
    <row r="487" spans="1:18" x14ac:dyDescent="0.25">
      <c r="A487" t="s">
        <v>3617</v>
      </c>
      <c r="B487" t="s">
        <v>3618</v>
      </c>
      <c r="C487" s="32" t="s">
        <v>605</v>
      </c>
      <c r="D487" t="s">
        <v>3619</v>
      </c>
      <c r="E487" s="54">
        <v>9190.61</v>
      </c>
      <c r="F487" s="54">
        <v>5006.22</v>
      </c>
      <c r="G487" s="54">
        <v>-557.29999999999995</v>
      </c>
      <c r="H487" s="54">
        <v>3870.86</v>
      </c>
      <c r="I487" t="s">
        <v>2877</v>
      </c>
      <c r="J487" s="31">
        <v>5006.22</v>
      </c>
      <c r="K487" s="36" t="s">
        <v>2675</v>
      </c>
      <c r="L487" t="s">
        <v>2502</v>
      </c>
      <c r="M487" t="s">
        <v>67</v>
      </c>
      <c r="O487" t="s">
        <v>3620</v>
      </c>
      <c r="P487" t="s">
        <v>1345</v>
      </c>
      <c r="Q487" s="23">
        <v>46281.46569474537</v>
      </c>
      <c r="R487" s="32">
        <f>IF(OR(tbl_de_massas[[#This Row],[dia_vencimento]]="", tbl_de_massas[[#This Row],[dia_vencimento]]="--"), "", WORKDAY(tbl_de_massas[[#This Row],[dia_vencimento]], 5))</f>
        <v>17</v>
      </c>
    </row>
    <row r="488" spans="1:18" x14ac:dyDescent="0.25">
      <c r="A488" t="s">
        <v>3621</v>
      </c>
      <c r="B488" t="s">
        <v>3622</v>
      </c>
      <c r="C488" s="32" t="s">
        <v>605</v>
      </c>
      <c r="D488" t="s">
        <v>3623</v>
      </c>
      <c r="E488" s="54">
        <v>2764.18</v>
      </c>
      <c r="F488" s="54">
        <v>4846.42</v>
      </c>
      <c r="G488" s="54">
        <v>12748.3</v>
      </c>
      <c r="H488" s="54">
        <v>3870.86</v>
      </c>
      <c r="I488" t="s">
        <v>2877</v>
      </c>
      <c r="J488" s="31">
        <v>4846.42</v>
      </c>
      <c r="K488" s="36" t="s">
        <v>2675</v>
      </c>
      <c r="L488" t="s">
        <v>2502</v>
      </c>
      <c r="M488" t="s">
        <v>67</v>
      </c>
      <c r="O488" t="s">
        <v>3624</v>
      </c>
      <c r="P488" t="s">
        <v>1341</v>
      </c>
      <c r="Q488" s="23">
        <v>46281.465697847219</v>
      </c>
      <c r="R488" s="32">
        <f>IF(OR(tbl_de_massas[[#This Row],[dia_vencimento]]="", tbl_de_massas[[#This Row],[dia_vencimento]]="--"), "", WORKDAY(tbl_de_massas[[#This Row],[dia_vencimento]], 5))</f>
        <v>17</v>
      </c>
    </row>
    <row r="489" spans="1:18" x14ac:dyDescent="0.25">
      <c r="A489" t="s">
        <v>3625</v>
      </c>
      <c r="B489" t="s">
        <v>3626</v>
      </c>
      <c r="C489" s="32" t="s">
        <v>607</v>
      </c>
      <c r="D489" t="s">
        <v>3627</v>
      </c>
      <c r="E489" s="54">
        <v>5265.88</v>
      </c>
      <c r="F489" s="54">
        <v>4675.3500000000004</v>
      </c>
      <c r="G489" s="54">
        <v>2466.31</v>
      </c>
      <c r="H489" s="54">
        <v>3870.86</v>
      </c>
      <c r="I489" t="s">
        <v>2877</v>
      </c>
      <c r="J489" s="31">
        <v>4675.3500000000004</v>
      </c>
      <c r="K489" s="36" t="s">
        <v>2675</v>
      </c>
      <c r="L489" t="s">
        <v>2502</v>
      </c>
      <c r="M489" t="s">
        <v>3628</v>
      </c>
      <c r="N489" t="s">
        <v>1341</v>
      </c>
      <c r="O489" t="s">
        <v>3629</v>
      </c>
      <c r="P489" t="s">
        <v>1341</v>
      </c>
      <c r="Q489" s="23">
        <v>46281.465701064815</v>
      </c>
      <c r="R489" s="32">
        <f>IF(OR(tbl_de_massas[[#This Row],[dia_vencimento]]="", tbl_de_massas[[#This Row],[dia_vencimento]]="--"), "", WORKDAY(tbl_de_massas[[#This Row],[dia_vencimento]], 5))</f>
        <v>20</v>
      </c>
    </row>
    <row r="490" spans="1:18" x14ac:dyDescent="0.25">
      <c r="A490" t="s">
        <v>3630</v>
      </c>
      <c r="B490" t="s">
        <v>3631</v>
      </c>
      <c r="C490" s="32" t="s">
        <v>605</v>
      </c>
      <c r="D490" t="s">
        <v>3632</v>
      </c>
      <c r="E490" s="54">
        <v>11571.92</v>
      </c>
      <c r="F490" s="54">
        <v>846.05</v>
      </c>
      <c r="G490" s="54">
        <v>2618.42</v>
      </c>
      <c r="H490" s="54">
        <v>0</v>
      </c>
      <c r="I490" t="s">
        <v>2881</v>
      </c>
      <c r="J490" s="31">
        <v>846.05</v>
      </c>
      <c r="K490" s="36" t="s">
        <v>1306</v>
      </c>
      <c r="L490" t="s">
        <v>2504</v>
      </c>
      <c r="M490" t="s">
        <v>3633</v>
      </c>
      <c r="N490" t="s">
        <v>1345</v>
      </c>
      <c r="O490" t="s">
        <v>3634</v>
      </c>
      <c r="P490" t="s">
        <v>1345</v>
      </c>
      <c r="Q490" s="23">
        <v>46281.465704884256</v>
      </c>
      <c r="R490" s="32">
        <f>IF(OR(tbl_de_massas[[#This Row],[dia_vencimento]]="", tbl_de_massas[[#This Row],[dia_vencimento]]="--"), "", WORKDAY(tbl_de_massas[[#This Row],[dia_vencimento]], 5))</f>
        <v>17</v>
      </c>
    </row>
    <row r="491" spans="1:18" x14ac:dyDescent="0.25">
      <c r="A491" t="s">
        <v>3635</v>
      </c>
      <c r="B491" t="s">
        <v>3636</v>
      </c>
      <c r="C491" s="32" t="s">
        <v>611</v>
      </c>
      <c r="D491" t="s">
        <v>3637</v>
      </c>
      <c r="E491" s="54">
        <v>5089.0200000000004</v>
      </c>
      <c r="F491" s="54">
        <v>5010.6400000000003</v>
      </c>
      <c r="G491" s="54">
        <v>5440.77</v>
      </c>
      <c r="H491" s="54">
        <v>3870.86</v>
      </c>
      <c r="I491" t="s">
        <v>2877</v>
      </c>
      <c r="J491" s="31">
        <v>5010.6400000000003</v>
      </c>
      <c r="K491" s="36" t="s">
        <v>2675</v>
      </c>
      <c r="L491" t="s">
        <v>2502</v>
      </c>
      <c r="M491" t="s">
        <v>3638</v>
      </c>
      <c r="N491" t="s">
        <v>1341</v>
      </c>
      <c r="O491" t="s">
        <v>67</v>
      </c>
      <c r="Q491" s="23">
        <v>46281.465708148149</v>
      </c>
      <c r="R491" s="32">
        <f>IF(OR(tbl_de_massas[[#This Row],[dia_vencimento]]="", tbl_de_massas[[#This Row],[dia_vencimento]]="--"), "", WORKDAY(tbl_de_massas[[#This Row],[dia_vencimento]], 5))</f>
        <v>32</v>
      </c>
    </row>
    <row r="492" spans="1:18" x14ac:dyDescent="0.25">
      <c r="A492" t="s">
        <v>3639</v>
      </c>
      <c r="B492" t="s">
        <v>3640</v>
      </c>
      <c r="C492" s="32" t="s">
        <v>5827</v>
      </c>
      <c r="D492" t="s">
        <v>3641</v>
      </c>
      <c r="E492" s="54">
        <v>12278.91</v>
      </c>
      <c r="F492" s="54">
        <v>982.29</v>
      </c>
      <c r="G492" s="54">
        <v>1404.15</v>
      </c>
      <c r="H492" s="54">
        <v>0</v>
      </c>
      <c r="I492" t="s">
        <v>2881</v>
      </c>
      <c r="J492" s="31">
        <v>982.29</v>
      </c>
      <c r="K492" s="36" t="s">
        <v>1306</v>
      </c>
      <c r="L492" t="s">
        <v>2504</v>
      </c>
      <c r="M492" t="s">
        <v>67</v>
      </c>
      <c r="O492" t="s">
        <v>3642</v>
      </c>
      <c r="P492" t="s">
        <v>1341</v>
      </c>
      <c r="Q492" s="23">
        <v>46281.465711631943</v>
      </c>
      <c r="R492" s="32">
        <f>IF(OR(tbl_de_massas[[#This Row],[dia_vencimento]]="", tbl_de_massas[[#This Row],[dia_vencimento]]="--"), "", WORKDAY(tbl_de_massas[[#This Row],[dia_vencimento]], 5))</f>
        <v>12</v>
      </c>
    </row>
    <row r="493" spans="1:18" x14ac:dyDescent="0.25">
      <c r="A493" t="s">
        <v>3643</v>
      </c>
      <c r="B493" t="s">
        <v>3644</v>
      </c>
      <c r="C493" s="32" t="s">
        <v>605</v>
      </c>
      <c r="D493" t="s">
        <v>3645</v>
      </c>
      <c r="E493" s="54">
        <v>14920.17</v>
      </c>
      <c r="F493" s="54">
        <v>4881</v>
      </c>
      <c r="G493" s="54">
        <v>4216.4399999999996</v>
      </c>
      <c r="H493" s="54">
        <v>3870.86</v>
      </c>
      <c r="I493" t="s">
        <v>2877</v>
      </c>
      <c r="J493" s="31">
        <v>4881</v>
      </c>
      <c r="K493" s="36" t="s">
        <v>2675</v>
      </c>
      <c r="L493" t="s">
        <v>2502</v>
      </c>
      <c r="M493" t="s">
        <v>3646</v>
      </c>
      <c r="N493" t="s">
        <v>1341</v>
      </c>
      <c r="O493" t="s">
        <v>3647</v>
      </c>
      <c r="P493" t="s">
        <v>1341</v>
      </c>
      <c r="Q493" s="23">
        <v>46281.465714479164</v>
      </c>
      <c r="R493" s="32">
        <f>IF(OR(tbl_de_massas[[#This Row],[dia_vencimento]]="", tbl_de_massas[[#This Row],[dia_vencimento]]="--"), "", WORKDAY(tbl_de_massas[[#This Row],[dia_vencimento]], 5))</f>
        <v>17</v>
      </c>
    </row>
    <row r="494" spans="1:18" x14ac:dyDescent="0.25">
      <c r="A494" t="s">
        <v>3648</v>
      </c>
      <c r="B494" t="s">
        <v>3649</v>
      </c>
      <c r="C494" s="32" t="s">
        <v>5827</v>
      </c>
      <c r="D494" t="s">
        <v>3650</v>
      </c>
      <c r="E494" s="54">
        <v>1253.3900000000001</v>
      </c>
      <c r="F494" s="54">
        <v>5068.3</v>
      </c>
      <c r="G494" s="54">
        <v>7390.89</v>
      </c>
      <c r="H494" s="54">
        <v>3870.86</v>
      </c>
      <c r="I494" t="s">
        <v>2877</v>
      </c>
      <c r="J494" s="31">
        <v>5068.3</v>
      </c>
      <c r="K494" s="36" t="s">
        <v>2675</v>
      </c>
      <c r="L494" t="s">
        <v>2502</v>
      </c>
      <c r="M494" t="s">
        <v>3651</v>
      </c>
      <c r="N494" t="s">
        <v>1341</v>
      </c>
      <c r="O494" t="s">
        <v>67</v>
      </c>
      <c r="Q494" s="23">
        <v>46281.465718067127</v>
      </c>
      <c r="R494" s="32">
        <f>IF(OR(tbl_de_massas[[#This Row],[dia_vencimento]]="", tbl_de_massas[[#This Row],[dia_vencimento]]="--"), "", WORKDAY(tbl_de_massas[[#This Row],[dia_vencimento]], 5))</f>
        <v>12</v>
      </c>
    </row>
    <row r="495" spans="1:18" x14ac:dyDescent="0.25">
      <c r="A495" t="s">
        <v>3652</v>
      </c>
      <c r="B495" t="s">
        <v>3653</v>
      </c>
      <c r="C495" s="32" t="s">
        <v>5827</v>
      </c>
      <c r="D495" t="s">
        <v>3654</v>
      </c>
      <c r="E495" s="54">
        <v>1322.4</v>
      </c>
      <c r="F495" s="54">
        <v>4820.75</v>
      </c>
      <c r="G495" s="54">
        <v>5180.6000000000004</v>
      </c>
      <c r="H495" s="54">
        <v>3870.86</v>
      </c>
      <c r="I495" t="s">
        <v>2877</v>
      </c>
      <c r="J495" s="31">
        <v>4820.75</v>
      </c>
      <c r="K495" s="36" t="s">
        <v>2675</v>
      </c>
      <c r="L495" t="s">
        <v>2502</v>
      </c>
      <c r="M495" t="s">
        <v>3655</v>
      </c>
      <c r="N495" t="s">
        <v>1341</v>
      </c>
      <c r="O495" t="s">
        <v>67</v>
      </c>
      <c r="Q495" s="23">
        <v>46281.465721377317</v>
      </c>
      <c r="R495" s="32">
        <f>IF(OR(tbl_de_massas[[#This Row],[dia_vencimento]]="", tbl_de_massas[[#This Row],[dia_vencimento]]="--"), "", WORKDAY(tbl_de_massas[[#This Row],[dia_vencimento]], 5))</f>
        <v>12</v>
      </c>
    </row>
    <row r="496" spans="1:18" x14ac:dyDescent="0.25">
      <c r="A496" t="s">
        <v>3656</v>
      </c>
      <c r="B496" t="s">
        <v>3657</v>
      </c>
      <c r="C496" s="32" t="s">
        <v>5827</v>
      </c>
      <c r="D496" t="s">
        <v>3658</v>
      </c>
      <c r="E496" s="54">
        <v>11308.07</v>
      </c>
      <c r="F496" s="54">
        <v>5043.97</v>
      </c>
      <c r="G496" s="54">
        <v>14466.38</v>
      </c>
      <c r="H496" s="54">
        <v>3870.86</v>
      </c>
      <c r="I496" t="s">
        <v>2877</v>
      </c>
      <c r="J496" s="31">
        <v>5043.97</v>
      </c>
      <c r="K496" s="36" t="s">
        <v>2675</v>
      </c>
      <c r="L496" t="s">
        <v>2502</v>
      </c>
      <c r="M496" t="s">
        <v>67</v>
      </c>
      <c r="O496" t="s">
        <v>3659</v>
      </c>
      <c r="P496" t="s">
        <v>1341</v>
      </c>
      <c r="Q496" s="23">
        <v>46281.465725891205</v>
      </c>
      <c r="R496" s="32">
        <f>IF(OR(tbl_de_massas[[#This Row],[dia_vencimento]]="", tbl_de_massas[[#This Row],[dia_vencimento]]="--"), "", WORKDAY(tbl_de_massas[[#This Row],[dia_vencimento]], 5))</f>
        <v>12</v>
      </c>
    </row>
    <row r="497" spans="1:18" x14ac:dyDescent="0.25">
      <c r="A497" t="s">
        <v>3660</v>
      </c>
      <c r="B497" t="s">
        <v>3661</v>
      </c>
      <c r="C497" s="32" t="s">
        <v>5827</v>
      </c>
      <c r="D497" t="s">
        <v>3662</v>
      </c>
      <c r="E497" s="54">
        <v>9794.11</v>
      </c>
      <c r="F497" s="54">
        <v>5053.71</v>
      </c>
      <c r="G497" s="54">
        <v>10456.200000000001</v>
      </c>
      <c r="H497" s="54">
        <v>3870.86</v>
      </c>
      <c r="I497" t="s">
        <v>2877</v>
      </c>
      <c r="J497" s="31">
        <v>5053.71</v>
      </c>
      <c r="K497" s="36" t="s">
        <v>2675</v>
      </c>
      <c r="L497" t="s">
        <v>2502</v>
      </c>
      <c r="M497" t="s">
        <v>3663</v>
      </c>
      <c r="N497" t="s">
        <v>1345</v>
      </c>
      <c r="O497" t="s">
        <v>3664</v>
      </c>
      <c r="P497" t="s">
        <v>1345</v>
      </c>
      <c r="Q497" s="23">
        <v>46281.465729340278</v>
      </c>
      <c r="R497" s="32">
        <f>IF(OR(tbl_de_massas[[#This Row],[dia_vencimento]]="", tbl_de_massas[[#This Row],[dia_vencimento]]="--"), "", WORKDAY(tbl_de_massas[[#This Row],[dia_vencimento]], 5))</f>
        <v>12</v>
      </c>
    </row>
    <row r="498" spans="1:18" x14ac:dyDescent="0.25">
      <c r="A498" t="s">
        <v>3665</v>
      </c>
      <c r="B498" t="s">
        <v>3666</v>
      </c>
      <c r="C498" s="32" t="s">
        <v>607</v>
      </c>
      <c r="D498" t="s">
        <v>3667</v>
      </c>
      <c r="E498" s="54">
        <v>5098.34</v>
      </c>
      <c r="F498" s="54">
        <v>880.22</v>
      </c>
      <c r="G498" s="54">
        <v>18780.95</v>
      </c>
      <c r="H498" s="54">
        <v>0</v>
      </c>
      <c r="I498" t="s">
        <v>2881</v>
      </c>
      <c r="J498" s="31">
        <v>880.22</v>
      </c>
      <c r="K498" s="36" t="s">
        <v>1306</v>
      </c>
      <c r="L498" t="s">
        <v>2504</v>
      </c>
      <c r="M498" t="s">
        <v>3668</v>
      </c>
      <c r="N498" t="s">
        <v>1341</v>
      </c>
      <c r="O498" t="s">
        <v>67</v>
      </c>
      <c r="Q498" s="23">
        <v>46281.465732615739</v>
      </c>
      <c r="R498" s="32">
        <f>IF(OR(tbl_de_massas[[#This Row],[dia_vencimento]]="", tbl_de_massas[[#This Row],[dia_vencimento]]="--"), "", WORKDAY(tbl_de_massas[[#This Row],[dia_vencimento]], 5))</f>
        <v>20</v>
      </c>
    </row>
    <row r="499" spans="1:18" x14ac:dyDescent="0.25">
      <c r="A499" t="s">
        <v>3669</v>
      </c>
      <c r="B499" t="s">
        <v>3670</v>
      </c>
      <c r="C499" s="32" t="s">
        <v>611</v>
      </c>
      <c r="D499" t="s">
        <v>3671</v>
      </c>
      <c r="E499" s="54">
        <v>10438.469999999999</v>
      </c>
      <c r="F499" s="54">
        <v>0</v>
      </c>
      <c r="G499" s="54">
        <v>15490.33</v>
      </c>
      <c r="H499" s="54">
        <v>0</v>
      </c>
      <c r="I499" t="s">
        <v>2881</v>
      </c>
      <c r="J499" s="31">
        <v>557.02</v>
      </c>
      <c r="K499" s="36" t="s">
        <v>1306</v>
      </c>
      <c r="L499" t="s">
        <v>2504</v>
      </c>
      <c r="M499" t="s">
        <v>3672</v>
      </c>
      <c r="N499" t="s">
        <v>1345</v>
      </c>
      <c r="O499" t="s">
        <v>67</v>
      </c>
      <c r="Q499" s="23">
        <v>46281.465736238424</v>
      </c>
      <c r="R499" s="32">
        <f>IF(OR(tbl_de_massas[[#This Row],[dia_vencimento]]="", tbl_de_massas[[#This Row],[dia_vencimento]]="--"), "", WORKDAY(tbl_de_massas[[#This Row],[dia_vencimento]], 5))</f>
        <v>32</v>
      </c>
    </row>
    <row r="500" spans="1:18" x14ac:dyDescent="0.25">
      <c r="A500" t="s">
        <v>3673</v>
      </c>
      <c r="B500" t="s">
        <v>3674</v>
      </c>
      <c r="C500" s="32" t="s">
        <v>5827</v>
      </c>
      <c r="D500" t="s">
        <v>3675</v>
      </c>
      <c r="E500" s="54">
        <v>14539.09</v>
      </c>
      <c r="F500" s="54">
        <v>5010.9399999999996</v>
      </c>
      <c r="G500" s="54">
        <v>10695.98</v>
      </c>
      <c r="H500" s="54">
        <v>3870.86</v>
      </c>
      <c r="I500" t="s">
        <v>2877</v>
      </c>
      <c r="J500" s="31">
        <v>5010.9399999999996</v>
      </c>
      <c r="K500" s="36" t="s">
        <v>2675</v>
      </c>
      <c r="L500" t="s">
        <v>2502</v>
      </c>
      <c r="M500" t="s">
        <v>67</v>
      </c>
      <c r="O500" t="s">
        <v>3676</v>
      </c>
      <c r="P500" t="s">
        <v>1341</v>
      </c>
      <c r="Q500" s="23">
        <v>46281.465739421299</v>
      </c>
      <c r="R500" s="32">
        <f>IF(OR(tbl_de_massas[[#This Row],[dia_vencimento]]="", tbl_de_massas[[#This Row],[dia_vencimento]]="--"), "", WORKDAY(tbl_de_massas[[#This Row],[dia_vencimento]], 5))</f>
        <v>12</v>
      </c>
    </row>
    <row r="501" spans="1:18" x14ac:dyDescent="0.25">
      <c r="A501" t="s">
        <v>3677</v>
      </c>
      <c r="B501" t="s">
        <v>3678</v>
      </c>
      <c r="C501" s="32" t="s">
        <v>5827</v>
      </c>
      <c r="D501" t="s">
        <v>3679</v>
      </c>
      <c r="E501" s="54">
        <v>12965.68</v>
      </c>
      <c r="F501" s="54">
        <v>614.19000000000005</v>
      </c>
      <c r="G501" s="54">
        <v>3872.59</v>
      </c>
      <c r="H501" s="54">
        <v>0</v>
      </c>
      <c r="I501" t="s">
        <v>2881</v>
      </c>
      <c r="J501" s="31">
        <v>614.19000000000005</v>
      </c>
      <c r="K501" s="36" t="s">
        <v>1306</v>
      </c>
      <c r="L501" t="s">
        <v>2504</v>
      </c>
      <c r="M501" t="s">
        <v>3680</v>
      </c>
      <c r="N501" t="s">
        <v>1341</v>
      </c>
      <c r="O501" t="s">
        <v>3681</v>
      </c>
      <c r="P501" t="s">
        <v>1341</v>
      </c>
      <c r="Q501" s="23">
        <v>46281.465743055553</v>
      </c>
      <c r="R501" s="32">
        <f>IF(OR(tbl_de_massas[[#This Row],[dia_vencimento]]="", tbl_de_massas[[#This Row],[dia_vencimento]]="--"), "", WORKDAY(tbl_de_massas[[#This Row],[dia_vencimento]], 5))</f>
        <v>12</v>
      </c>
    </row>
    <row r="502" spans="1:18" x14ac:dyDescent="0.25">
      <c r="A502" t="s">
        <v>3682</v>
      </c>
      <c r="B502" t="s">
        <v>3683</v>
      </c>
      <c r="C502" s="32" t="s">
        <v>5827</v>
      </c>
      <c r="D502" t="s">
        <v>3684</v>
      </c>
      <c r="E502" s="54">
        <v>5330.7</v>
      </c>
      <c r="F502" s="54">
        <v>737.88</v>
      </c>
      <c r="G502" s="54">
        <v>7665.17</v>
      </c>
      <c r="H502" s="54">
        <v>0</v>
      </c>
      <c r="I502" t="s">
        <v>2881</v>
      </c>
      <c r="J502" s="31">
        <v>737.88</v>
      </c>
      <c r="K502" s="36" t="s">
        <v>1306</v>
      </c>
      <c r="L502" t="s">
        <v>2504</v>
      </c>
      <c r="M502" t="s">
        <v>3685</v>
      </c>
      <c r="N502" t="s">
        <v>1341</v>
      </c>
      <c r="O502" t="s">
        <v>3686</v>
      </c>
      <c r="P502" t="s">
        <v>1341</v>
      </c>
      <c r="Q502" s="23">
        <v>46281.465746215275</v>
      </c>
      <c r="R502" s="32">
        <f>IF(OR(tbl_de_massas[[#This Row],[dia_vencimento]]="", tbl_de_massas[[#This Row],[dia_vencimento]]="--"), "", WORKDAY(tbl_de_massas[[#This Row],[dia_vencimento]], 5))</f>
        <v>12</v>
      </c>
    </row>
    <row r="503" spans="1:18" x14ac:dyDescent="0.25">
      <c r="A503" t="s">
        <v>3687</v>
      </c>
      <c r="B503" t="s">
        <v>3688</v>
      </c>
      <c r="C503" s="32" t="s">
        <v>605</v>
      </c>
      <c r="D503" t="s">
        <v>3689</v>
      </c>
      <c r="E503" s="54">
        <v>2421.09</v>
      </c>
      <c r="F503" s="54">
        <v>4787.24</v>
      </c>
      <c r="G503" s="54">
        <v>7918.31</v>
      </c>
      <c r="H503" s="54">
        <v>3870.86</v>
      </c>
      <c r="I503" t="s">
        <v>2877</v>
      </c>
      <c r="J503" s="31">
        <v>4787.24</v>
      </c>
      <c r="K503" s="36" t="s">
        <v>2675</v>
      </c>
      <c r="L503" t="s">
        <v>2502</v>
      </c>
      <c r="M503" t="s">
        <v>3690</v>
      </c>
      <c r="N503" t="s">
        <v>1341</v>
      </c>
      <c r="O503" t="s">
        <v>67</v>
      </c>
      <c r="Q503" s="23">
        <v>46281.465748865739</v>
      </c>
      <c r="R503" s="32">
        <f>IF(OR(tbl_de_massas[[#This Row],[dia_vencimento]]="", tbl_de_massas[[#This Row],[dia_vencimento]]="--"), "", WORKDAY(tbl_de_massas[[#This Row],[dia_vencimento]], 5))</f>
        <v>17</v>
      </c>
    </row>
    <row r="504" spans="1:18" x14ac:dyDescent="0.25">
      <c r="A504" t="s">
        <v>3691</v>
      </c>
      <c r="B504" t="s">
        <v>3692</v>
      </c>
      <c r="C504" s="32" t="s">
        <v>605</v>
      </c>
      <c r="D504" t="s">
        <v>3693</v>
      </c>
      <c r="E504" s="54">
        <v>12755.32</v>
      </c>
      <c r="F504" s="54">
        <v>4971.3500000000004</v>
      </c>
      <c r="G504" s="54">
        <v>11509.7</v>
      </c>
      <c r="H504" s="54">
        <v>3870.86</v>
      </c>
      <c r="I504" t="s">
        <v>2877</v>
      </c>
      <c r="J504" s="31">
        <v>4971.3500000000004</v>
      </c>
      <c r="K504" s="36" t="s">
        <v>2675</v>
      </c>
      <c r="L504" t="s">
        <v>2502</v>
      </c>
      <c r="M504" t="s">
        <v>67</v>
      </c>
      <c r="O504" t="s">
        <v>3694</v>
      </c>
      <c r="P504" t="s">
        <v>1341</v>
      </c>
      <c r="Q504" s="23">
        <v>46281.465752523145</v>
      </c>
      <c r="R504" s="32">
        <f>IF(OR(tbl_de_massas[[#This Row],[dia_vencimento]]="", tbl_de_massas[[#This Row],[dia_vencimento]]="--"), "", WORKDAY(tbl_de_massas[[#This Row],[dia_vencimento]], 5))</f>
        <v>17</v>
      </c>
    </row>
    <row r="505" spans="1:18" x14ac:dyDescent="0.25">
      <c r="A505" t="s">
        <v>3695</v>
      </c>
      <c r="B505" t="s">
        <v>3696</v>
      </c>
      <c r="C505" s="32" t="s">
        <v>5827</v>
      </c>
      <c r="D505" t="s">
        <v>3697</v>
      </c>
      <c r="E505" s="54">
        <v>13214.1</v>
      </c>
      <c r="F505" s="54">
        <v>4700.5200000000004</v>
      </c>
      <c r="G505" s="54">
        <v>4235.33</v>
      </c>
      <c r="H505" s="54">
        <v>3870.86</v>
      </c>
      <c r="I505" t="s">
        <v>2877</v>
      </c>
      <c r="J505" s="31">
        <v>4700.5200000000004</v>
      </c>
      <c r="K505" s="36" t="s">
        <v>2675</v>
      </c>
      <c r="L505" t="s">
        <v>2502</v>
      </c>
      <c r="M505" t="s">
        <v>3698</v>
      </c>
      <c r="N505" t="s">
        <v>1341</v>
      </c>
      <c r="O505" t="s">
        <v>3699</v>
      </c>
      <c r="P505" t="s">
        <v>1341</v>
      </c>
      <c r="Q505" s="23">
        <v>46281.465755520832</v>
      </c>
      <c r="R505" s="32">
        <f>IF(OR(tbl_de_massas[[#This Row],[dia_vencimento]]="", tbl_de_massas[[#This Row],[dia_vencimento]]="--"), "", WORKDAY(tbl_de_massas[[#This Row],[dia_vencimento]], 5))</f>
        <v>12</v>
      </c>
    </row>
    <row r="506" spans="1:18" x14ac:dyDescent="0.25">
      <c r="A506" t="s">
        <v>3700</v>
      </c>
      <c r="B506" t="s">
        <v>3701</v>
      </c>
      <c r="C506" s="32" t="s">
        <v>611</v>
      </c>
      <c r="D506" t="s">
        <v>3702</v>
      </c>
      <c r="E506" s="54">
        <v>12101.29</v>
      </c>
      <c r="F506" s="54">
        <v>4854.46</v>
      </c>
      <c r="G506" s="54">
        <v>6581.06</v>
      </c>
      <c r="H506" s="54">
        <v>3870.86</v>
      </c>
      <c r="I506" t="s">
        <v>2877</v>
      </c>
      <c r="J506" s="31">
        <v>4854.46</v>
      </c>
      <c r="K506" s="36" t="s">
        <v>2675</v>
      </c>
      <c r="L506" t="s">
        <v>2502</v>
      </c>
      <c r="M506" t="s">
        <v>67</v>
      </c>
      <c r="O506" t="s">
        <v>3703</v>
      </c>
      <c r="P506" t="s">
        <v>1345</v>
      </c>
      <c r="Q506" s="23">
        <v>46281.466032442127</v>
      </c>
      <c r="R506" s="32">
        <f>IF(OR(tbl_de_massas[[#This Row],[dia_vencimento]]="", tbl_de_massas[[#This Row],[dia_vencimento]]="--"), "", WORKDAY(tbl_de_massas[[#This Row],[dia_vencimento]], 5))</f>
        <v>32</v>
      </c>
    </row>
    <row r="507" spans="1:18" x14ac:dyDescent="0.25">
      <c r="A507" t="s">
        <v>3704</v>
      </c>
      <c r="B507" t="s">
        <v>3705</v>
      </c>
      <c r="C507" s="32" t="s">
        <v>607</v>
      </c>
      <c r="D507" t="s">
        <v>3706</v>
      </c>
      <c r="E507" s="54">
        <v>11536.96</v>
      </c>
      <c r="F507" s="54">
        <v>404.15</v>
      </c>
      <c r="G507" s="54">
        <v>11723.29</v>
      </c>
      <c r="H507" s="54">
        <v>0</v>
      </c>
      <c r="I507" t="s">
        <v>2881</v>
      </c>
      <c r="J507" s="31">
        <v>404.15</v>
      </c>
      <c r="K507" s="36" t="s">
        <v>1306</v>
      </c>
      <c r="L507" t="s">
        <v>2504</v>
      </c>
      <c r="M507" t="s">
        <v>67</v>
      </c>
      <c r="O507" t="s">
        <v>3707</v>
      </c>
      <c r="P507" t="s">
        <v>1341</v>
      </c>
      <c r="Q507" s="23">
        <v>46281.532550983793</v>
      </c>
      <c r="R507" s="32">
        <f>IF(OR(tbl_de_massas[[#This Row],[dia_vencimento]]="", tbl_de_massas[[#This Row],[dia_vencimento]]="--"), "", WORKDAY(tbl_de_massas[[#This Row],[dia_vencimento]], 5))</f>
        <v>20</v>
      </c>
    </row>
    <row r="508" spans="1:18" x14ac:dyDescent="0.25">
      <c r="A508" t="s">
        <v>3708</v>
      </c>
      <c r="B508" t="s">
        <v>3709</v>
      </c>
      <c r="C508" s="32" t="s">
        <v>5828</v>
      </c>
      <c r="D508" t="s">
        <v>3710</v>
      </c>
      <c r="E508" s="54">
        <v>6062.95</v>
      </c>
      <c r="F508" s="54">
        <v>4730.72</v>
      </c>
      <c r="G508" s="54">
        <v>12360.81</v>
      </c>
      <c r="H508" s="54">
        <v>3870.86</v>
      </c>
      <c r="I508" t="s">
        <v>2877</v>
      </c>
      <c r="J508" s="31">
        <v>4730.72</v>
      </c>
      <c r="K508" s="36" t="s">
        <v>2675</v>
      </c>
      <c r="L508" t="s">
        <v>2502</v>
      </c>
      <c r="M508" t="s">
        <v>3711</v>
      </c>
      <c r="N508" t="s">
        <v>1341</v>
      </c>
      <c r="O508" t="s">
        <v>67</v>
      </c>
      <c r="Q508" s="23">
        <v>46281.545926967592</v>
      </c>
      <c r="R508" s="32">
        <f>IF(OR(tbl_de_massas[[#This Row],[dia_vencimento]]="", tbl_de_massas[[#This Row],[dia_vencimento]]="--"), "", WORKDAY(tbl_de_massas[[#This Row],[dia_vencimento]], 5))</f>
        <v>33</v>
      </c>
    </row>
    <row r="509" spans="1:18" x14ac:dyDescent="0.25">
      <c r="A509" t="s">
        <v>3712</v>
      </c>
      <c r="B509" t="s">
        <v>3713</v>
      </c>
      <c r="C509" s="32" t="s">
        <v>5829</v>
      </c>
      <c r="D509" t="s">
        <v>3714</v>
      </c>
      <c r="E509" s="54">
        <v>11283.73</v>
      </c>
      <c r="F509" s="54">
        <v>0</v>
      </c>
      <c r="G509" s="54">
        <v>17361.73</v>
      </c>
      <c r="H509" s="54">
        <v>0</v>
      </c>
      <c r="I509" t="s">
        <v>2881</v>
      </c>
      <c r="J509" s="31">
        <v>751.86</v>
      </c>
      <c r="K509" s="36" t="s">
        <v>1306</v>
      </c>
      <c r="L509" t="s">
        <v>2504</v>
      </c>
      <c r="M509" t="s">
        <v>3715</v>
      </c>
      <c r="N509" t="s">
        <v>1341</v>
      </c>
      <c r="O509" t="s">
        <v>3716</v>
      </c>
      <c r="P509" t="s">
        <v>1341</v>
      </c>
      <c r="Q509" s="23">
        <v>46281.545930312503</v>
      </c>
      <c r="R509" s="32">
        <f>IF(OR(tbl_de_massas[[#This Row],[dia_vencimento]]="", tbl_de_massas[[#This Row],[dia_vencimento]]="--"), "", WORKDAY(tbl_de_massas[[#This Row],[dia_vencimento]], 5))</f>
        <v>30</v>
      </c>
    </row>
    <row r="510" spans="1:18" x14ac:dyDescent="0.25">
      <c r="A510" t="s">
        <v>3717</v>
      </c>
      <c r="B510" t="s">
        <v>3718</v>
      </c>
      <c r="C510" s="32" t="s">
        <v>2360</v>
      </c>
      <c r="D510" t="s">
        <v>3719</v>
      </c>
      <c r="E510" s="54">
        <v>14254.57</v>
      </c>
      <c r="F510" s="54">
        <v>696.15</v>
      </c>
      <c r="G510" s="54">
        <v>9043.19</v>
      </c>
      <c r="H510" s="54">
        <v>0</v>
      </c>
      <c r="I510" t="s">
        <v>2876</v>
      </c>
      <c r="J510" s="31">
        <v>464.1</v>
      </c>
      <c r="K510" s="36" t="s">
        <v>1306</v>
      </c>
      <c r="L510" t="s">
        <v>2504</v>
      </c>
      <c r="M510" t="s">
        <v>67</v>
      </c>
      <c r="O510" t="s">
        <v>3720</v>
      </c>
      <c r="P510" t="s">
        <v>1341</v>
      </c>
      <c r="Q510" s="23">
        <v>46281.545933819441</v>
      </c>
      <c r="R510" s="32">
        <f>IF(OR(tbl_de_massas[[#This Row],[dia_vencimento]]="", tbl_de_massas[[#This Row],[dia_vencimento]]="--"), "", WORKDAY(tbl_de_massas[[#This Row],[dia_vencimento]], 5))</f>
        <v>19</v>
      </c>
    </row>
    <row r="511" spans="1:18" x14ac:dyDescent="0.25">
      <c r="A511" t="s">
        <v>3721</v>
      </c>
      <c r="B511" t="s">
        <v>3722</v>
      </c>
      <c r="C511" s="32" t="s">
        <v>605</v>
      </c>
      <c r="D511" t="s">
        <v>3723</v>
      </c>
      <c r="E511" s="54">
        <v>10819.96</v>
      </c>
      <c r="F511" s="54">
        <v>4963.13</v>
      </c>
      <c r="G511" s="54">
        <v>4176.5600000000004</v>
      </c>
      <c r="H511" s="54">
        <v>3870.86</v>
      </c>
      <c r="I511" t="s">
        <v>2877</v>
      </c>
      <c r="J511" s="31">
        <v>4963.13</v>
      </c>
      <c r="K511" s="36" t="s">
        <v>2675</v>
      </c>
      <c r="L511" t="s">
        <v>2502</v>
      </c>
      <c r="M511" t="s">
        <v>3724</v>
      </c>
      <c r="N511" t="s">
        <v>1341</v>
      </c>
      <c r="O511" t="s">
        <v>3725</v>
      </c>
      <c r="P511" t="s">
        <v>1341</v>
      </c>
      <c r="Q511" s="23">
        <v>46281.545936168979</v>
      </c>
      <c r="R511" s="32">
        <f>IF(OR(tbl_de_massas[[#This Row],[dia_vencimento]]="", tbl_de_massas[[#This Row],[dia_vencimento]]="--"), "", WORKDAY(tbl_de_massas[[#This Row],[dia_vencimento]], 5))</f>
        <v>17</v>
      </c>
    </row>
    <row r="512" spans="1:18" x14ac:dyDescent="0.25">
      <c r="A512" t="s">
        <v>3726</v>
      </c>
      <c r="B512" t="s">
        <v>3727</v>
      </c>
      <c r="C512" s="32" t="s">
        <v>5830</v>
      </c>
      <c r="D512" t="s">
        <v>3728</v>
      </c>
      <c r="E512" s="54">
        <v>641.58000000000004</v>
      </c>
      <c r="F512" s="54">
        <v>711.42</v>
      </c>
      <c r="G512" s="54">
        <v>1765.42</v>
      </c>
      <c r="H512" s="54">
        <v>0</v>
      </c>
      <c r="I512" t="s">
        <v>2881</v>
      </c>
      <c r="J512" s="31">
        <v>711.42</v>
      </c>
      <c r="K512" s="36" t="s">
        <v>1306</v>
      </c>
      <c r="L512" t="s">
        <v>2504</v>
      </c>
      <c r="M512" t="s">
        <v>3729</v>
      </c>
      <c r="N512" t="s">
        <v>1341</v>
      </c>
      <c r="O512" t="s">
        <v>3730</v>
      </c>
      <c r="P512" t="s">
        <v>1341</v>
      </c>
      <c r="Q512" s="23">
        <v>46281.545939606483</v>
      </c>
      <c r="R512" s="32">
        <f>IF(OR(tbl_de_massas[[#This Row],[dia_vencimento]]="", tbl_de_massas[[#This Row],[dia_vencimento]]="--"), "", WORKDAY(tbl_de_massas[[#This Row],[dia_vencimento]], 5))</f>
        <v>13</v>
      </c>
    </row>
    <row r="513" spans="1:18" x14ac:dyDescent="0.25">
      <c r="A513" t="s">
        <v>3731</v>
      </c>
      <c r="B513" t="s">
        <v>3732</v>
      </c>
      <c r="C513" s="32" t="s">
        <v>5829</v>
      </c>
      <c r="D513" t="s">
        <v>3733</v>
      </c>
      <c r="E513" s="54">
        <v>3081.9</v>
      </c>
      <c r="F513" s="54">
        <v>0</v>
      </c>
      <c r="G513" s="54">
        <v>11015.37</v>
      </c>
      <c r="H513" s="54">
        <v>0</v>
      </c>
      <c r="I513" t="s">
        <v>2881</v>
      </c>
      <c r="J513" s="31">
        <v>467.05</v>
      </c>
      <c r="K513" s="36" t="s">
        <v>1306</v>
      </c>
      <c r="L513" t="s">
        <v>2504</v>
      </c>
      <c r="M513" t="s">
        <v>3734</v>
      </c>
      <c r="N513" t="s">
        <v>1341</v>
      </c>
      <c r="O513" t="s">
        <v>3735</v>
      </c>
      <c r="P513" t="s">
        <v>1341</v>
      </c>
      <c r="Q513" s="23">
        <v>46281.545941898148</v>
      </c>
      <c r="R513" s="32">
        <f>IF(OR(tbl_de_massas[[#This Row],[dia_vencimento]]="", tbl_de_massas[[#This Row],[dia_vencimento]]="--"), "", WORKDAY(tbl_de_massas[[#This Row],[dia_vencimento]], 5))</f>
        <v>30</v>
      </c>
    </row>
    <row r="514" spans="1:18" x14ac:dyDescent="0.25">
      <c r="A514" t="s">
        <v>3736</v>
      </c>
      <c r="B514" t="s">
        <v>3737</v>
      </c>
      <c r="C514" s="32" t="s">
        <v>2918</v>
      </c>
      <c r="D514" t="s">
        <v>3738</v>
      </c>
      <c r="E514" s="54">
        <v>10768.79</v>
      </c>
      <c r="F514" s="54">
        <v>0</v>
      </c>
      <c r="G514" s="54">
        <v>15068.39</v>
      </c>
      <c r="H514" s="54">
        <v>0</v>
      </c>
      <c r="I514" t="s">
        <v>2881</v>
      </c>
      <c r="J514" s="31">
        <v>633.61</v>
      </c>
      <c r="K514" s="36" t="s">
        <v>1306</v>
      </c>
      <c r="L514" t="s">
        <v>2504</v>
      </c>
      <c r="M514" t="s">
        <v>67</v>
      </c>
      <c r="O514" t="s">
        <v>3739</v>
      </c>
      <c r="P514" t="s">
        <v>1341</v>
      </c>
      <c r="Q514" s="23">
        <v>46281.545944270831</v>
      </c>
      <c r="R514" s="32">
        <f>IF(OR(tbl_de_massas[[#This Row],[dia_vencimento]]="", tbl_de_massas[[#This Row],[dia_vencimento]]="--"), "", WORKDAY(tbl_de_massas[[#This Row],[dia_vencimento]], 5))</f>
        <v>34</v>
      </c>
    </row>
    <row r="515" spans="1:18" x14ac:dyDescent="0.25">
      <c r="A515" t="s">
        <v>3740</v>
      </c>
      <c r="B515" t="s">
        <v>3741</v>
      </c>
      <c r="C515" s="32" t="s">
        <v>5831</v>
      </c>
      <c r="D515" t="s">
        <v>3742</v>
      </c>
      <c r="E515" s="54">
        <v>1369.86</v>
      </c>
      <c r="F515" s="54">
        <v>4779.68</v>
      </c>
      <c r="G515" s="54">
        <v>10659.21</v>
      </c>
      <c r="H515" s="54">
        <v>3870.86</v>
      </c>
      <c r="I515" t="s">
        <v>2877</v>
      </c>
      <c r="J515" s="31">
        <v>4779.68</v>
      </c>
      <c r="K515" s="36" t="s">
        <v>2675</v>
      </c>
      <c r="L515" t="s">
        <v>2502</v>
      </c>
      <c r="M515" t="s">
        <v>3743</v>
      </c>
      <c r="N515" t="s">
        <v>1345</v>
      </c>
      <c r="O515" t="s">
        <v>67</v>
      </c>
      <c r="Q515" s="23">
        <v>46281.545947060185</v>
      </c>
      <c r="R515" s="32">
        <f>IF(OR(tbl_de_massas[[#This Row],[dia_vencimento]]="", tbl_de_massas[[#This Row],[dia_vencimento]]="--"), "", WORKDAY(tbl_de_massas[[#This Row],[dia_vencimento]], 5))</f>
        <v>16</v>
      </c>
    </row>
    <row r="516" spans="1:18" x14ac:dyDescent="0.25">
      <c r="A516" t="s">
        <v>3744</v>
      </c>
      <c r="B516" t="s">
        <v>3745</v>
      </c>
      <c r="C516" s="32" t="s">
        <v>5831</v>
      </c>
      <c r="D516" t="s">
        <v>3746</v>
      </c>
      <c r="E516" s="54">
        <v>13045.98</v>
      </c>
      <c r="F516" s="54">
        <v>923.51</v>
      </c>
      <c r="G516" s="54">
        <v>12764.83</v>
      </c>
      <c r="H516" s="54">
        <v>0</v>
      </c>
      <c r="I516" t="s">
        <v>2881</v>
      </c>
      <c r="J516" s="31">
        <v>923.51</v>
      </c>
      <c r="K516" s="36" t="s">
        <v>1306</v>
      </c>
      <c r="L516" t="s">
        <v>2504</v>
      </c>
      <c r="M516" t="s">
        <v>67</v>
      </c>
      <c r="O516" t="s">
        <v>3747</v>
      </c>
      <c r="P516" t="s">
        <v>1341</v>
      </c>
      <c r="Q516" s="23">
        <v>46281.545949930558</v>
      </c>
      <c r="R516" s="32">
        <f>IF(OR(tbl_de_massas[[#This Row],[dia_vencimento]]="", tbl_de_massas[[#This Row],[dia_vencimento]]="--"), "", WORKDAY(tbl_de_massas[[#This Row],[dia_vencimento]], 5))</f>
        <v>16</v>
      </c>
    </row>
    <row r="517" spans="1:18" x14ac:dyDescent="0.25">
      <c r="A517" t="s">
        <v>3748</v>
      </c>
      <c r="B517" t="s">
        <v>3749</v>
      </c>
      <c r="C517" s="32" t="s">
        <v>2921</v>
      </c>
      <c r="D517" t="s">
        <v>3750</v>
      </c>
      <c r="E517" s="54">
        <v>15436.12</v>
      </c>
      <c r="F517" s="54">
        <v>998.44</v>
      </c>
      <c r="G517" s="54">
        <v>16393.919999999998</v>
      </c>
      <c r="H517" s="54">
        <v>0</v>
      </c>
      <c r="I517" t="s">
        <v>2881</v>
      </c>
      <c r="J517" s="31">
        <v>998.44</v>
      </c>
      <c r="K517" s="36" t="s">
        <v>1306</v>
      </c>
      <c r="L517" t="s">
        <v>2504</v>
      </c>
      <c r="M517" t="s">
        <v>3751</v>
      </c>
      <c r="N517" t="s">
        <v>1341</v>
      </c>
      <c r="O517" t="s">
        <v>67</v>
      </c>
      <c r="Q517" s="23">
        <v>46281.54595240741</v>
      </c>
      <c r="R517" s="32">
        <f>IF(OR(tbl_de_massas[[#This Row],[dia_vencimento]]="", tbl_de_massas[[#This Row],[dia_vencimento]]="--"), "", WORKDAY(tbl_de_massas[[#This Row],[dia_vencimento]], 5))</f>
        <v>13</v>
      </c>
    </row>
    <row r="518" spans="1:18" x14ac:dyDescent="0.25">
      <c r="A518" t="s">
        <v>3752</v>
      </c>
      <c r="B518" t="s">
        <v>3753</v>
      </c>
      <c r="C518" s="32" t="s">
        <v>2675</v>
      </c>
      <c r="D518" t="s">
        <v>3754</v>
      </c>
      <c r="E518" s="54">
        <v>12567.83</v>
      </c>
      <c r="F518" s="54">
        <v>882.36</v>
      </c>
      <c r="G518" s="54">
        <v>10860.42</v>
      </c>
      <c r="H518" s="54">
        <v>0</v>
      </c>
      <c r="I518" t="s">
        <v>2881</v>
      </c>
      <c r="J518" s="31">
        <v>882.36</v>
      </c>
      <c r="K518" s="36" t="s">
        <v>1306</v>
      </c>
      <c r="L518" t="s">
        <v>2504</v>
      </c>
      <c r="M518" t="s">
        <v>3755</v>
      </c>
      <c r="N518" t="s">
        <v>1341</v>
      </c>
      <c r="O518" t="s">
        <v>3756</v>
      </c>
      <c r="P518" t="s">
        <v>1341</v>
      </c>
      <c r="Q518" s="23">
        <v>46281.545954490743</v>
      </c>
      <c r="R518" s="32">
        <f>IF(OR(tbl_de_massas[[#This Row],[dia_vencimento]]="", tbl_de_massas[[#This Row],[dia_vencimento]]="--"), "", WORKDAY(tbl_de_massas[[#This Row],[dia_vencimento]], 5))</f>
        <v>23</v>
      </c>
    </row>
    <row r="519" spans="1:18" x14ac:dyDescent="0.25">
      <c r="A519" t="s">
        <v>3757</v>
      </c>
      <c r="B519" t="s">
        <v>3758</v>
      </c>
      <c r="C519" s="32" t="s">
        <v>607</v>
      </c>
      <c r="D519" t="s">
        <v>3759</v>
      </c>
      <c r="E519" s="54">
        <v>8185.33</v>
      </c>
      <c r="F519" s="54">
        <v>387.37</v>
      </c>
      <c r="G519" s="54">
        <v>12855.77</v>
      </c>
      <c r="H519" s="54">
        <v>0</v>
      </c>
      <c r="I519" t="s">
        <v>2881</v>
      </c>
      <c r="J519" s="31">
        <v>581.05999999999995</v>
      </c>
      <c r="K519" s="36" t="s">
        <v>1306</v>
      </c>
      <c r="L519" t="s">
        <v>2504</v>
      </c>
      <c r="M519" t="s">
        <v>3760</v>
      </c>
      <c r="N519" t="s">
        <v>1341</v>
      </c>
      <c r="O519" t="s">
        <v>67</v>
      </c>
      <c r="Q519" s="23">
        <v>46281.545956793983</v>
      </c>
      <c r="R519" s="32">
        <f>IF(OR(tbl_de_massas[[#This Row],[dia_vencimento]]="", tbl_de_massas[[#This Row],[dia_vencimento]]="--"), "", WORKDAY(tbl_de_massas[[#This Row],[dia_vencimento]], 5))</f>
        <v>20</v>
      </c>
    </row>
    <row r="520" spans="1:18" x14ac:dyDescent="0.25">
      <c r="A520" t="s">
        <v>3761</v>
      </c>
      <c r="B520" t="s">
        <v>3762</v>
      </c>
      <c r="C520" s="32" t="s">
        <v>2361</v>
      </c>
      <c r="D520" t="s">
        <v>3763</v>
      </c>
      <c r="E520" s="54">
        <v>11783.26</v>
      </c>
      <c r="F520" s="54">
        <v>4715.95</v>
      </c>
      <c r="G520" s="54">
        <v>10957.15</v>
      </c>
      <c r="H520" s="54">
        <v>3870.86</v>
      </c>
      <c r="I520" t="s">
        <v>2877</v>
      </c>
      <c r="J520" s="31">
        <v>4715.95</v>
      </c>
      <c r="K520" s="36" t="s">
        <v>2675</v>
      </c>
      <c r="L520" t="s">
        <v>2502</v>
      </c>
      <c r="M520" t="s">
        <v>3764</v>
      </c>
      <c r="N520" t="s">
        <v>1345</v>
      </c>
      <c r="O520" t="s">
        <v>3765</v>
      </c>
      <c r="P520" t="s">
        <v>1345</v>
      </c>
      <c r="Q520" s="23">
        <v>46281.545959120369</v>
      </c>
      <c r="R520" s="32">
        <f>IF(OR(tbl_de_massas[[#This Row],[dia_vencimento]]="", tbl_de_massas[[#This Row],[dia_vencimento]]="--"), "", WORKDAY(tbl_de_massas[[#This Row],[dia_vencimento]], 5))</f>
        <v>20</v>
      </c>
    </row>
    <row r="521" spans="1:18" x14ac:dyDescent="0.25">
      <c r="A521" t="s">
        <v>3766</v>
      </c>
      <c r="B521" t="s">
        <v>3767</v>
      </c>
      <c r="C521" s="32" t="s">
        <v>2925</v>
      </c>
      <c r="D521" t="s">
        <v>3768</v>
      </c>
      <c r="E521" s="54">
        <v>2791.7</v>
      </c>
      <c r="F521" s="54">
        <v>362.18</v>
      </c>
      <c r="G521" s="54">
        <v>2820.31</v>
      </c>
      <c r="H521" s="54">
        <v>0</v>
      </c>
      <c r="I521" t="s">
        <v>2881</v>
      </c>
      <c r="J521" s="31">
        <v>465.66</v>
      </c>
      <c r="K521" s="36" t="s">
        <v>1306</v>
      </c>
      <c r="L521" t="s">
        <v>2504</v>
      </c>
      <c r="M521" t="s">
        <v>3769</v>
      </c>
      <c r="N521" t="s">
        <v>1341</v>
      </c>
      <c r="O521" t="s">
        <v>3770</v>
      </c>
      <c r="P521" t="s">
        <v>1341</v>
      </c>
      <c r="Q521" s="23">
        <v>46281.545961689815</v>
      </c>
      <c r="R521" s="32">
        <f>IF(OR(tbl_de_massas[[#This Row],[dia_vencimento]]="", tbl_de_massas[[#This Row],[dia_vencimento]]="--"), "", WORKDAY(tbl_de_massas[[#This Row],[dia_vencimento]], 5))</f>
        <v>24</v>
      </c>
    </row>
    <row r="522" spans="1:18" x14ac:dyDescent="0.25">
      <c r="A522" t="s">
        <v>3771</v>
      </c>
      <c r="B522" t="s">
        <v>3772</v>
      </c>
      <c r="C522" s="32" t="s">
        <v>2346</v>
      </c>
      <c r="D522" t="s">
        <v>3773</v>
      </c>
      <c r="E522" s="54">
        <v>6937.25</v>
      </c>
      <c r="F522" s="54">
        <v>4690.08</v>
      </c>
      <c r="G522" s="54">
        <v>-2332.89</v>
      </c>
      <c r="H522" s="54">
        <v>3870.86</v>
      </c>
      <c r="I522" t="s">
        <v>2877</v>
      </c>
      <c r="J522" s="31">
        <v>4690.08</v>
      </c>
      <c r="K522" s="36" t="s">
        <v>2675</v>
      </c>
      <c r="L522" t="s">
        <v>2502</v>
      </c>
      <c r="M522" t="s">
        <v>3774</v>
      </c>
      <c r="N522" t="s">
        <v>1341</v>
      </c>
      <c r="O522" t="s">
        <v>67</v>
      </c>
      <c r="Q522" s="23">
        <v>46281.545963958335</v>
      </c>
      <c r="R522" s="32">
        <f>IF(OR(tbl_de_massas[[#This Row],[dia_vencimento]]="", tbl_de_massas[[#This Row],[dia_vencimento]]="--"), "", WORKDAY(tbl_de_massas[[#This Row],[dia_vencimento]], 5))</f>
        <v>18</v>
      </c>
    </row>
    <row r="523" spans="1:18" x14ac:dyDescent="0.25">
      <c r="A523" t="s">
        <v>3775</v>
      </c>
      <c r="B523" t="s">
        <v>3776</v>
      </c>
      <c r="C523" s="32" t="s">
        <v>2924</v>
      </c>
      <c r="D523" t="s">
        <v>3777</v>
      </c>
      <c r="E523" s="54">
        <v>658.16</v>
      </c>
      <c r="F523" s="54">
        <v>0</v>
      </c>
      <c r="G523" s="54">
        <v>18792.07</v>
      </c>
      <c r="H523" s="54">
        <v>0</v>
      </c>
      <c r="I523" t="s">
        <v>2881</v>
      </c>
      <c r="J523" s="31">
        <v>953.19</v>
      </c>
      <c r="K523" s="36" t="s">
        <v>1306</v>
      </c>
      <c r="L523" t="s">
        <v>2504</v>
      </c>
      <c r="M523" t="s">
        <v>3778</v>
      </c>
      <c r="N523" t="s">
        <v>1341</v>
      </c>
      <c r="O523" t="s">
        <v>3779</v>
      </c>
      <c r="P523" t="s">
        <v>1341</v>
      </c>
      <c r="Q523" s="23">
        <v>46281.545966446756</v>
      </c>
      <c r="R523" s="32">
        <f>IF(OR(tbl_de_massas[[#This Row],[dia_vencimento]]="", tbl_de_massas[[#This Row],[dia_vencimento]]="--"), "", WORKDAY(tbl_de_massas[[#This Row],[dia_vencimento]], 5))</f>
        <v>26</v>
      </c>
    </row>
    <row r="524" spans="1:18" x14ac:dyDescent="0.25">
      <c r="A524" t="s">
        <v>3780</v>
      </c>
      <c r="B524" t="s">
        <v>3781</v>
      </c>
      <c r="C524" s="32" t="s">
        <v>5831</v>
      </c>
      <c r="D524" t="s">
        <v>3782</v>
      </c>
      <c r="E524" s="54">
        <v>7433.21</v>
      </c>
      <c r="F524" s="54">
        <v>880.67</v>
      </c>
      <c r="G524" s="54">
        <v>19850.330000000002</v>
      </c>
      <c r="H524" s="54">
        <v>0</v>
      </c>
      <c r="I524" t="s">
        <v>2881</v>
      </c>
      <c r="J524" s="31">
        <v>880.67</v>
      </c>
      <c r="K524" s="36" t="s">
        <v>1306</v>
      </c>
      <c r="L524" t="s">
        <v>2504</v>
      </c>
      <c r="M524" t="s">
        <v>67</v>
      </c>
      <c r="O524" t="s">
        <v>3783</v>
      </c>
      <c r="P524" t="s">
        <v>1341</v>
      </c>
      <c r="Q524" s="23">
        <v>46281.545968668979</v>
      </c>
      <c r="R524" s="32">
        <f>IF(OR(tbl_de_massas[[#This Row],[dia_vencimento]]="", tbl_de_massas[[#This Row],[dia_vencimento]]="--"), "", WORKDAY(tbl_de_massas[[#This Row],[dia_vencimento]], 5))</f>
        <v>16</v>
      </c>
    </row>
    <row r="525" spans="1:18" x14ac:dyDescent="0.25">
      <c r="A525" t="s">
        <v>3784</v>
      </c>
      <c r="B525" t="s">
        <v>3785</v>
      </c>
      <c r="C525" s="32" t="s">
        <v>5828</v>
      </c>
      <c r="D525" t="s">
        <v>3786</v>
      </c>
      <c r="E525" s="54">
        <v>4688.37</v>
      </c>
      <c r="F525" s="54">
        <v>0</v>
      </c>
      <c r="G525" s="54">
        <v>4080.55</v>
      </c>
      <c r="H525" s="54">
        <v>0</v>
      </c>
      <c r="I525" t="s">
        <v>2881</v>
      </c>
      <c r="J525" s="31">
        <v>550.16999999999996</v>
      </c>
      <c r="K525" s="36" t="s">
        <v>1306</v>
      </c>
      <c r="L525" t="s">
        <v>2504</v>
      </c>
      <c r="M525" t="s">
        <v>67</v>
      </c>
      <c r="O525" t="s">
        <v>3787</v>
      </c>
      <c r="P525" t="s">
        <v>1341</v>
      </c>
      <c r="Q525" s="23">
        <v>46281.54597078704</v>
      </c>
      <c r="R525" s="32">
        <f>IF(OR(tbl_de_massas[[#This Row],[dia_vencimento]]="", tbl_de_massas[[#This Row],[dia_vencimento]]="--"), "", WORKDAY(tbl_de_massas[[#This Row],[dia_vencimento]], 5))</f>
        <v>33</v>
      </c>
    </row>
    <row r="526" spans="1:18" x14ac:dyDescent="0.25">
      <c r="A526" t="s">
        <v>3788</v>
      </c>
      <c r="B526" t="s">
        <v>3789</v>
      </c>
      <c r="C526" s="32" t="s">
        <v>5832</v>
      </c>
      <c r="D526" t="s">
        <v>3790</v>
      </c>
      <c r="E526" s="54">
        <v>5207.45</v>
      </c>
      <c r="F526" s="54">
        <v>5073.43</v>
      </c>
      <c r="G526" s="54">
        <v>7318.85</v>
      </c>
      <c r="H526" s="54">
        <v>3870.86</v>
      </c>
      <c r="I526" t="s">
        <v>2877</v>
      </c>
      <c r="J526" s="31">
        <v>5073.43</v>
      </c>
      <c r="K526" s="36" t="s">
        <v>2675</v>
      </c>
      <c r="L526" t="s">
        <v>2502</v>
      </c>
      <c r="M526" t="s">
        <v>3791</v>
      </c>
      <c r="N526" t="s">
        <v>1345</v>
      </c>
      <c r="O526" t="s">
        <v>3792</v>
      </c>
      <c r="P526" t="s">
        <v>1345</v>
      </c>
      <c r="Q526" s="23">
        <v>46281.545973067128</v>
      </c>
      <c r="R526" s="32">
        <f>IF(OR(tbl_de_massas[[#This Row],[dia_vencimento]]="", tbl_de_massas[[#This Row],[dia_vencimento]]="--"), "", WORKDAY(tbl_de_massas[[#This Row],[dia_vencimento]], 5))</f>
        <v>27</v>
      </c>
    </row>
    <row r="527" spans="1:18" x14ac:dyDescent="0.25">
      <c r="A527" t="s">
        <v>3793</v>
      </c>
      <c r="B527" t="s">
        <v>3794</v>
      </c>
      <c r="C527" s="32" t="s">
        <v>2675</v>
      </c>
      <c r="D527" t="s">
        <v>3795</v>
      </c>
      <c r="E527" s="54">
        <v>14844.39</v>
      </c>
      <c r="F527" s="54">
        <v>4823.34</v>
      </c>
      <c r="G527" s="54">
        <v>10486.4</v>
      </c>
      <c r="H527" s="54">
        <v>0</v>
      </c>
      <c r="I527" t="s">
        <v>2877</v>
      </c>
      <c r="J527" s="31">
        <v>4306.41</v>
      </c>
      <c r="K527" s="36" t="s">
        <v>2675</v>
      </c>
      <c r="L527" t="s">
        <v>2502</v>
      </c>
      <c r="M527" t="s">
        <v>67</v>
      </c>
      <c r="O527" t="s">
        <v>3796</v>
      </c>
      <c r="P527" t="s">
        <v>1341</v>
      </c>
      <c r="Q527" s="23">
        <v>46281.545975833331</v>
      </c>
      <c r="R527" s="32">
        <f>IF(OR(tbl_de_massas[[#This Row],[dia_vencimento]]="", tbl_de_massas[[#This Row],[dia_vencimento]]="--"), "", WORKDAY(tbl_de_massas[[#This Row],[dia_vencimento]], 5))</f>
        <v>23</v>
      </c>
    </row>
    <row r="528" spans="1:18" x14ac:dyDescent="0.25">
      <c r="A528" t="s">
        <v>3797</v>
      </c>
      <c r="B528" t="s">
        <v>3798</v>
      </c>
      <c r="C528" s="32" t="s">
        <v>605</v>
      </c>
      <c r="D528" t="s">
        <v>3799</v>
      </c>
      <c r="E528" s="54">
        <v>10825.32</v>
      </c>
      <c r="F528" s="54">
        <v>998.93</v>
      </c>
      <c r="G528" s="54">
        <v>15386.7</v>
      </c>
      <c r="H528" s="54">
        <v>0</v>
      </c>
      <c r="I528" t="s">
        <v>2881</v>
      </c>
      <c r="J528" s="31">
        <v>998.93</v>
      </c>
      <c r="K528" s="36" t="s">
        <v>1306</v>
      </c>
      <c r="L528" t="s">
        <v>2504</v>
      </c>
      <c r="M528" t="s">
        <v>67</v>
      </c>
      <c r="O528" t="s">
        <v>3800</v>
      </c>
      <c r="P528" t="s">
        <v>1341</v>
      </c>
      <c r="Q528" s="23">
        <v>46281.545978599534</v>
      </c>
      <c r="R528" s="32">
        <f>IF(OR(tbl_de_massas[[#This Row],[dia_vencimento]]="", tbl_de_massas[[#This Row],[dia_vencimento]]="--"), "", WORKDAY(tbl_de_massas[[#This Row],[dia_vencimento]], 5))</f>
        <v>17</v>
      </c>
    </row>
    <row r="529" spans="1:18" x14ac:dyDescent="0.25">
      <c r="A529" t="s">
        <v>3801</v>
      </c>
      <c r="B529" t="s">
        <v>3802</v>
      </c>
      <c r="C529" s="32" t="s">
        <v>5833</v>
      </c>
      <c r="D529" t="s">
        <v>3803</v>
      </c>
      <c r="E529" s="54">
        <v>6400.99</v>
      </c>
      <c r="F529" s="54">
        <v>4706.04</v>
      </c>
      <c r="G529" s="54">
        <v>14827.78</v>
      </c>
      <c r="H529" s="54">
        <v>3870.86</v>
      </c>
      <c r="I529" t="s">
        <v>2877</v>
      </c>
      <c r="J529" s="31">
        <v>4706.04</v>
      </c>
      <c r="K529" s="36" t="s">
        <v>2675</v>
      </c>
      <c r="L529" t="s">
        <v>2502</v>
      </c>
      <c r="M529" t="s">
        <v>3804</v>
      </c>
      <c r="N529" t="s">
        <v>1341</v>
      </c>
      <c r="O529" t="s">
        <v>67</v>
      </c>
      <c r="Q529" s="23">
        <v>46281.545981099538</v>
      </c>
      <c r="R529" s="32">
        <f>IF(OR(tbl_de_massas[[#This Row],[dia_vencimento]]="", tbl_de_massas[[#This Row],[dia_vencimento]]="--"), "", WORKDAY(tbl_de_massas[[#This Row],[dia_vencimento]], 5))</f>
        <v>13</v>
      </c>
    </row>
    <row r="530" spans="1:18" x14ac:dyDescent="0.25">
      <c r="A530" t="s">
        <v>3805</v>
      </c>
      <c r="B530" t="s">
        <v>3806</v>
      </c>
      <c r="C530" s="32" t="s">
        <v>5830</v>
      </c>
      <c r="D530" t="s">
        <v>3131</v>
      </c>
      <c r="E530" s="54">
        <v>5930.35</v>
      </c>
      <c r="F530" s="54">
        <v>4970.74</v>
      </c>
      <c r="G530" s="54">
        <v>14349.05</v>
      </c>
      <c r="H530" s="54">
        <v>3870.86</v>
      </c>
      <c r="I530" t="s">
        <v>2877</v>
      </c>
      <c r="J530" s="31">
        <v>4970.74</v>
      </c>
      <c r="K530" s="36" t="s">
        <v>2675</v>
      </c>
      <c r="L530" t="s">
        <v>2502</v>
      </c>
      <c r="M530" t="s">
        <v>3807</v>
      </c>
      <c r="N530" t="s">
        <v>1341</v>
      </c>
      <c r="O530" t="s">
        <v>67</v>
      </c>
      <c r="Q530" s="23">
        <v>46281.545983738426</v>
      </c>
      <c r="R530" s="32">
        <f>IF(OR(tbl_de_massas[[#This Row],[dia_vencimento]]="", tbl_de_massas[[#This Row],[dia_vencimento]]="--"), "", WORKDAY(tbl_de_massas[[#This Row],[dia_vencimento]], 5))</f>
        <v>13</v>
      </c>
    </row>
    <row r="531" spans="1:18" x14ac:dyDescent="0.25">
      <c r="A531" t="s">
        <v>3808</v>
      </c>
      <c r="B531" t="s">
        <v>3809</v>
      </c>
      <c r="C531" s="32" t="s">
        <v>2362</v>
      </c>
      <c r="D531" t="s">
        <v>3810</v>
      </c>
      <c r="E531" s="54">
        <v>14233.42</v>
      </c>
      <c r="F531" s="54">
        <v>296.69</v>
      </c>
      <c r="G531" s="54">
        <v>11631.41</v>
      </c>
      <c r="H531" s="54">
        <v>0</v>
      </c>
      <c r="I531" t="s">
        <v>2881</v>
      </c>
      <c r="J531" s="31">
        <v>667.55</v>
      </c>
      <c r="K531" s="36" t="s">
        <v>1306</v>
      </c>
      <c r="L531" t="s">
        <v>2504</v>
      </c>
      <c r="M531" t="s">
        <v>67</v>
      </c>
      <c r="O531" t="s">
        <v>3811</v>
      </c>
      <c r="P531" t="s">
        <v>1341</v>
      </c>
      <c r="Q531" s="23">
        <v>46281.545987210651</v>
      </c>
      <c r="R531" s="32">
        <f>IF(OR(tbl_de_massas[[#This Row],[dia_vencimento]]="", tbl_de_massas[[#This Row],[dia_vencimento]]="--"), "", WORKDAY(tbl_de_massas[[#This Row],[dia_vencimento]], 5))</f>
        <v>20</v>
      </c>
    </row>
    <row r="532" spans="1:18" x14ac:dyDescent="0.25">
      <c r="A532" t="s">
        <v>3812</v>
      </c>
      <c r="B532" t="s">
        <v>3813</v>
      </c>
      <c r="C532" s="32" t="s">
        <v>5832</v>
      </c>
      <c r="D532" t="s">
        <v>3814</v>
      </c>
      <c r="E532" s="54">
        <v>4779.9399999999996</v>
      </c>
      <c r="F532" s="54">
        <v>4849.07</v>
      </c>
      <c r="G532" s="54">
        <v>8773.99</v>
      </c>
      <c r="H532" s="54">
        <v>3870.86</v>
      </c>
      <c r="I532" t="s">
        <v>2877</v>
      </c>
      <c r="J532" s="31">
        <v>4849.07</v>
      </c>
      <c r="K532" s="36" t="s">
        <v>2675</v>
      </c>
      <c r="L532" t="s">
        <v>2502</v>
      </c>
      <c r="M532" t="s">
        <v>3815</v>
      </c>
      <c r="N532" t="s">
        <v>1341</v>
      </c>
      <c r="O532" t="s">
        <v>3816</v>
      </c>
      <c r="P532" t="s">
        <v>1341</v>
      </c>
      <c r="Q532" s="23">
        <v>46281.545989363425</v>
      </c>
      <c r="R532" s="32">
        <f>IF(OR(tbl_de_massas[[#This Row],[dia_vencimento]]="", tbl_de_massas[[#This Row],[dia_vencimento]]="--"), "", WORKDAY(tbl_de_massas[[#This Row],[dia_vencimento]], 5))</f>
        <v>27</v>
      </c>
    </row>
    <row r="533" spans="1:18" x14ac:dyDescent="0.25">
      <c r="A533" t="s">
        <v>3817</v>
      </c>
      <c r="B533" t="s">
        <v>3818</v>
      </c>
      <c r="C533" s="32" t="s">
        <v>2924</v>
      </c>
      <c r="D533" t="s">
        <v>3819</v>
      </c>
      <c r="E533" s="54">
        <v>6155.01</v>
      </c>
      <c r="F533" s="54">
        <v>323.82</v>
      </c>
      <c r="G533" s="54">
        <v>7086.62</v>
      </c>
      <c r="H533" s="54">
        <v>0</v>
      </c>
      <c r="I533" t="s">
        <v>2881</v>
      </c>
      <c r="J533" s="31">
        <v>971.46</v>
      </c>
      <c r="K533" s="36" t="s">
        <v>1306</v>
      </c>
      <c r="L533" t="s">
        <v>2504</v>
      </c>
      <c r="M533" t="s">
        <v>3820</v>
      </c>
      <c r="N533" t="s">
        <v>1341</v>
      </c>
      <c r="O533" t="s">
        <v>3821</v>
      </c>
      <c r="P533" t="s">
        <v>1341</v>
      </c>
      <c r="Q533" s="23">
        <v>46281.545992280095</v>
      </c>
      <c r="R533" s="32">
        <f>IF(OR(tbl_de_massas[[#This Row],[dia_vencimento]]="", tbl_de_massas[[#This Row],[dia_vencimento]]="--"), "", WORKDAY(tbl_de_massas[[#This Row],[dia_vencimento]], 5))</f>
        <v>26</v>
      </c>
    </row>
    <row r="534" spans="1:18" x14ac:dyDescent="0.25">
      <c r="A534" t="s">
        <v>3822</v>
      </c>
      <c r="B534" t="s">
        <v>3823</v>
      </c>
      <c r="C534" s="32" t="s">
        <v>5831</v>
      </c>
      <c r="D534" t="s">
        <v>3824</v>
      </c>
      <c r="E534" s="54">
        <v>14688.78</v>
      </c>
      <c r="F534" s="54">
        <v>4810.6000000000004</v>
      </c>
      <c r="G534" s="54">
        <v>11220.42</v>
      </c>
      <c r="H534" s="54">
        <v>3870.86</v>
      </c>
      <c r="I534" t="s">
        <v>2877</v>
      </c>
      <c r="J534" s="31">
        <v>4810.6000000000004</v>
      </c>
      <c r="K534" s="36" t="s">
        <v>2675</v>
      </c>
      <c r="L534" t="s">
        <v>2502</v>
      </c>
      <c r="M534" t="s">
        <v>3825</v>
      </c>
      <c r="N534" t="s">
        <v>1341</v>
      </c>
      <c r="O534" t="s">
        <v>67</v>
      </c>
      <c r="Q534" s="23">
        <v>46281.545994351851</v>
      </c>
      <c r="R534" s="32">
        <f>IF(OR(tbl_de_massas[[#This Row],[dia_vencimento]]="", tbl_de_massas[[#This Row],[dia_vencimento]]="--"), "", WORKDAY(tbl_de_massas[[#This Row],[dia_vencimento]], 5))</f>
        <v>16</v>
      </c>
    </row>
    <row r="535" spans="1:18" x14ac:dyDescent="0.25">
      <c r="A535" t="s">
        <v>3826</v>
      </c>
      <c r="B535" t="s">
        <v>3827</v>
      </c>
      <c r="C535" s="32" t="s">
        <v>605</v>
      </c>
      <c r="D535" t="s">
        <v>3828</v>
      </c>
      <c r="E535" s="54">
        <v>13408.86</v>
      </c>
      <c r="F535" s="54">
        <v>4851.3100000000004</v>
      </c>
      <c r="G535" s="54">
        <v>12613.34</v>
      </c>
      <c r="H535" s="54">
        <v>3870.86</v>
      </c>
      <c r="I535" t="s">
        <v>2877</v>
      </c>
      <c r="J535" s="31">
        <v>4851.3100000000004</v>
      </c>
      <c r="K535" s="36" t="s">
        <v>2675</v>
      </c>
      <c r="L535" t="s">
        <v>2502</v>
      </c>
      <c r="M535" t="s">
        <v>67</v>
      </c>
      <c r="O535" t="s">
        <v>3829</v>
      </c>
      <c r="P535" t="s">
        <v>1341</v>
      </c>
      <c r="Q535" s="23">
        <v>46281.545996863424</v>
      </c>
      <c r="R535" s="32">
        <f>IF(OR(tbl_de_massas[[#This Row],[dia_vencimento]]="", tbl_de_massas[[#This Row],[dia_vencimento]]="--"), "", WORKDAY(tbl_de_massas[[#This Row],[dia_vencimento]], 5))</f>
        <v>17</v>
      </c>
    </row>
    <row r="536" spans="1:18" x14ac:dyDescent="0.25">
      <c r="A536" t="s">
        <v>3830</v>
      </c>
      <c r="B536" t="s">
        <v>3831</v>
      </c>
      <c r="C536" s="32" t="s">
        <v>2360</v>
      </c>
      <c r="D536" t="s">
        <v>3832</v>
      </c>
      <c r="E536" s="54">
        <v>14801.53</v>
      </c>
      <c r="F536" s="54">
        <v>4644.22</v>
      </c>
      <c r="G536" s="54">
        <v>14880.59</v>
      </c>
      <c r="H536" s="54">
        <v>3870.86</v>
      </c>
      <c r="I536" t="s">
        <v>2877</v>
      </c>
      <c r="J536" s="31">
        <v>4644.22</v>
      </c>
      <c r="K536" s="36" t="s">
        <v>2675</v>
      </c>
      <c r="L536" t="s">
        <v>2502</v>
      </c>
      <c r="M536" t="s">
        <v>67</v>
      </c>
      <c r="O536" t="s">
        <v>3833</v>
      </c>
      <c r="P536" t="s">
        <v>1341</v>
      </c>
      <c r="Q536" s="23">
        <v>46281.545999305556</v>
      </c>
      <c r="R536" s="32">
        <f>IF(OR(tbl_de_massas[[#This Row],[dia_vencimento]]="", tbl_de_massas[[#This Row],[dia_vencimento]]="--"), "", WORKDAY(tbl_de_massas[[#This Row],[dia_vencimento]], 5))</f>
        <v>19</v>
      </c>
    </row>
    <row r="537" spans="1:18" x14ac:dyDescent="0.25">
      <c r="A537" t="s">
        <v>3834</v>
      </c>
      <c r="B537" t="s">
        <v>3835</v>
      </c>
      <c r="C537" s="32" t="s">
        <v>2362</v>
      </c>
      <c r="D537" t="s">
        <v>3836</v>
      </c>
      <c r="E537" s="54">
        <v>4081.02</v>
      </c>
      <c r="F537" s="54">
        <v>414.37</v>
      </c>
      <c r="G537" s="54">
        <v>2624.01</v>
      </c>
      <c r="H537" s="54">
        <v>0</v>
      </c>
      <c r="I537" t="s">
        <v>2881</v>
      </c>
      <c r="J537" s="31">
        <v>414.37</v>
      </c>
      <c r="K537" s="36" t="s">
        <v>1306</v>
      </c>
      <c r="L537" t="s">
        <v>2504</v>
      </c>
      <c r="M537" t="s">
        <v>3837</v>
      </c>
      <c r="N537" t="s">
        <v>1345</v>
      </c>
      <c r="O537" t="s">
        <v>3838</v>
      </c>
      <c r="P537" t="s">
        <v>1345</v>
      </c>
      <c r="Q537" s="23">
        <v>46281.546001817129</v>
      </c>
      <c r="R537" s="32">
        <f>IF(OR(tbl_de_massas[[#This Row],[dia_vencimento]]="", tbl_de_massas[[#This Row],[dia_vencimento]]="--"), "", WORKDAY(tbl_de_massas[[#This Row],[dia_vencimento]], 5))</f>
        <v>20</v>
      </c>
    </row>
    <row r="538" spans="1:18" x14ac:dyDescent="0.25">
      <c r="A538" t="s">
        <v>3839</v>
      </c>
      <c r="B538" t="s">
        <v>3840</v>
      </c>
      <c r="C538" s="32" t="s">
        <v>2361</v>
      </c>
      <c r="D538" t="s">
        <v>3841</v>
      </c>
      <c r="E538" s="54">
        <v>9689.5400000000009</v>
      </c>
      <c r="F538" s="54">
        <v>4900.42</v>
      </c>
      <c r="G538" s="54">
        <v>7934.23</v>
      </c>
      <c r="H538" s="54">
        <v>3870.86</v>
      </c>
      <c r="I538" t="s">
        <v>2877</v>
      </c>
      <c r="J538" s="31">
        <v>4900.42</v>
      </c>
      <c r="K538" s="36" t="s">
        <v>2675</v>
      </c>
      <c r="L538" t="s">
        <v>2502</v>
      </c>
      <c r="M538" t="s">
        <v>3842</v>
      </c>
      <c r="N538" t="s">
        <v>1345</v>
      </c>
      <c r="O538" t="s">
        <v>3843</v>
      </c>
      <c r="P538" t="s">
        <v>1345</v>
      </c>
      <c r="Q538" s="23">
        <v>46281.546004062497</v>
      </c>
      <c r="R538" s="32">
        <f>IF(OR(tbl_de_massas[[#This Row],[dia_vencimento]]="", tbl_de_massas[[#This Row],[dia_vencimento]]="--"), "", WORKDAY(tbl_de_massas[[#This Row],[dia_vencimento]], 5))</f>
        <v>20</v>
      </c>
    </row>
    <row r="539" spans="1:18" x14ac:dyDescent="0.25">
      <c r="A539" t="s">
        <v>3844</v>
      </c>
      <c r="B539" t="s">
        <v>3845</v>
      </c>
      <c r="C539" s="32" t="s">
        <v>5834</v>
      </c>
      <c r="D539" t="s">
        <v>3846</v>
      </c>
      <c r="E539" s="54">
        <v>2425.48</v>
      </c>
      <c r="F539" s="54">
        <v>5040.2299999999996</v>
      </c>
      <c r="G539" s="54">
        <v>-2433.38</v>
      </c>
      <c r="H539" s="54">
        <v>3870.86</v>
      </c>
      <c r="I539" t="s">
        <v>2877</v>
      </c>
      <c r="J539" s="31">
        <v>5040.2299999999996</v>
      </c>
      <c r="K539" s="36" t="s">
        <v>2675</v>
      </c>
      <c r="L539" t="s">
        <v>2502</v>
      </c>
      <c r="M539" t="s">
        <v>3847</v>
      </c>
      <c r="N539" t="s">
        <v>1341</v>
      </c>
      <c r="O539" t="s">
        <v>67</v>
      </c>
      <c r="Q539" s="23">
        <v>46281.546006655095</v>
      </c>
      <c r="R539" s="32">
        <f>IF(OR(tbl_de_massas[[#This Row],[dia_vencimento]]="", tbl_de_massas[[#This Row],[dia_vencimento]]="--"), "", WORKDAY(tbl_de_massas[[#This Row],[dia_vencimento]], 5))</f>
        <v>10</v>
      </c>
    </row>
    <row r="540" spans="1:18" x14ac:dyDescent="0.25">
      <c r="A540" t="s">
        <v>3848</v>
      </c>
      <c r="B540" t="s">
        <v>3849</v>
      </c>
      <c r="C540" s="32" t="s">
        <v>2917</v>
      </c>
      <c r="D540" t="s">
        <v>3850</v>
      </c>
      <c r="E540" s="54">
        <v>4708.53</v>
      </c>
      <c r="F540" s="54">
        <v>0</v>
      </c>
      <c r="G540" s="54">
        <v>18642.2</v>
      </c>
      <c r="H540" s="54">
        <v>0</v>
      </c>
      <c r="I540" t="s">
        <v>2881</v>
      </c>
      <c r="J540" s="31">
        <v>680.6</v>
      </c>
      <c r="K540" s="36" t="s">
        <v>1306</v>
      </c>
      <c r="L540" t="s">
        <v>2504</v>
      </c>
      <c r="M540" t="s">
        <v>3851</v>
      </c>
      <c r="N540" t="s">
        <v>1341</v>
      </c>
      <c r="O540" t="s">
        <v>3852</v>
      </c>
      <c r="P540" t="s">
        <v>1341</v>
      </c>
      <c r="Q540" s="23">
        <v>46281.546009097219</v>
      </c>
      <c r="R540" s="32">
        <f>IF(OR(tbl_de_massas[[#This Row],[dia_vencimento]]="", tbl_de_massas[[#This Row],[dia_vencimento]]="--"), "", WORKDAY(tbl_de_massas[[#This Row],[dia_vencimento]], 5))</f>
        <v>27</v>
      </c>
    </row>
    <row r="541" spans="1:18" x14ac:dyDescent="0.25">
      <c r="A541" t="s">
        <v>3853</v>
      </c>
      <c r="B541" t="s">
        <v>3854</v>
      </c>
      <c r="C541" s="32" t="s">
        <v>5831</v>
      </c>
      <c r="D541" t="s">
        <v>3855</v>
      </c>
      <c r="E541" s="54">
        <v>4419.58</v>
      </c>
      <c r="F541" s="54">
        <v>4954.13</v>
      </c>
      <c r="G541" s="54">
        <v>3323.64</v>
      </c>
      <c r="H541" s="54">
        <v>3870.86</v>
      </c>
      <c r="I541" t="s">
        <v>2877</v>
      </c>
      <c r="J541" s="31">
        <v>4954.13</v>
      </c>
      <c r="K541" s="36" t="s">
        <v>2675</v>
      </c>
      <c r="L541" t="s">
        <v>2502</v>
      </c>
      <c r="M541" t="s">
        <v>3856</v>
      </c>
      <c r="N541" t="s">
        <v>1341</v>
      </c>
      <c r="O541" t="s">
        <v>3857</v>
      </c>
      <c r="P541" t="s">
        <v>1341</v>
      </c>
      <c r="Q541" s="23">
        <v>46281.546011238424</v>
      </c>
      <c r="R541" s="32">
        <f>IF(OR(tbl_de_massas[[#This Row],[dia_vencimento]]="", tbl_de_massas[[#This Row],[dia_vencimento]]="--"), "", WORKDAY(tbl_de_massas[[#This Row],[dia_vencimento]], 5))</f>
        <v>16</v>
      </c>
    </row>
    <row r="542" spans="1:18" x14ac:dyDescent="0.25">
      <c r="A542" t="s">
        <v>3858</v>
      </c>
      <c r="B542" t="s">
        <v>3859</v>
      </c>
      <c r="C542" s="32" t="s">
        <v>2925</v>
      </c>
      <c r="D542" t="s">
        <v>3860</v>
      </c>
      <c r="E542" s="54">
        <v>10493.63</v>
      </c>
      <c r="F542" s="54">
        <v>4939.8</v>
      </c>
      <c r="G542" s="54">
        <v>-274.92</v>
      </c>
      <c r="H542" s="54">
        <v>3870.86</v>
      </c>
      <c r="I542" t="s">
        <v>2877</v>
      </c>
      <c r="J542" s="31">
        <v>4939.8</v>
      </c>
      <c r="K542" s="36" t="s">
        <v>2675</v>
      </c>
      <c r="L542" t="s">
        <v>2502</v>
      </c>
      <c r="M542" t="s">
        <v>3861</v>
      </c>
      <c r="N542" t="s">
        <v>1341</v>
      </c>
      <c r="O542" t="s">
        <v>3862</v>
      </c>
      <c r="P542" t="s">
        <v>1341</v>
      </c>
      <c r="Q542" s="23">
        <v>46281.546013761574</v>
      </c>
      <c r="R542" s="32">
        <f>IF(OR(tbl_de_massas[[#This Row],[dia_vencimento]]="", tbl_de_massas[[#This Row],[dia_vencimento]]="--"), "", WORKDAY(tbl_de_massas[[#This Row],[dia_vencimento]], 5))</f>
        <v>24</v>
      </c>
    </row>
    <row r="543" spans="1:18" x14ac:dyDescent="0.25">
      <c r="A543" t="s">
        <v>3863</v>
      </c>
      <c r="B543" t="s">
        <v>3864</v>
      </c>
      <c r="C543" s="32" t="s">
        <v>2918</v>
      </c>
      <c r="D543" t="s">
        <v>3865</v>
      </c>
      <c r="E543" s="54">
        <v>1496.2</v>
      </c>
      <c r="F543" s="54">
        <v>5089.4399999999996</v>
      </c>
      <c r="G543" s="54">
        <v>10737.94</v>
      </c>
      <c r="H543" s="54">
        <v>3870.86</v>
      </c>
      <c r="I543" t="s">
        <v>2877</v>
      </c>
      <c r="J543" s="31">
        <v>5089.4399999999996</v>
      </c>
      <c r="K543" s="36" t="s">
        <v>2675</v>
      </c>
      <c r="L543" t="s">
        <v>2502</v>
      </c>
      <c r="M543" t="s">
        <v>3866</v>
      </c>
      <c r="N543" t="s">
        <v>1341</v>
      </c>
      <c r="O543" t="s">
        <v>67</v>
      </c>
      <c r="Q543" s="23">
        <v>46281.546016643515</v>
      </c>
      <c r="R543" s="32">
        <f>IF(OR(tbl_de_massas[[#This Row],[dia_vencimento]]="", tbl_de_massas[[#This Row],[dia_vencimento]]="--"), "", WORKDAY(tbl_de_massas[[#This Row],[dia_vencimento]], 5))</f>
        <v>34</v>
      </c>
    </row>
    <row r="544" spans="1:18" x14ac:dyDescent="0.25">
      <c r="A544" t="s">
        <v>3867</v>
      </c>
      <c r="B544" t="s">
        <v>3868</v>
      </c>
      <c r="C544" s="32" t="s">
        <v>2917</v>
      </c>
      <c r="D544" t="s">
        <v>3869</v>
      </c>
      <c r="E544" s="54">
        <v>2293.02</v>
      </c>
      <c r="F544" s="54">
        <v>0</v>
      </c>
      <c r="G544" s="54">
        <v>18419.77</v>
      </c>
      <c r="H544" s="54">
        <v>0</v>
      </c>
      <c r="I544" t="s">
        <v>2881</v>
      </c>
      <c r="J544" s="31">
        <v>406.84</v>
      </c>
      <c r="K544" s="36" t="s">
        <v>1306</v>
      </c>
      <c r="L544" t="s">
        <v>2504</v>
      </c>
      <c r="M544" t="s">
        <v>3870</v>
      </c>
      <c r="N544" t="s">
        <v>1341</v>
      </c>
      <c r="O544" t="s">
        <v>67</v>
      </c>
      <c r="Q544" s="23">
        <v>46281.546019259258</v>
      </c>
      <c r="R544" s="32">
        <f>IF(OR(tbl_de_massas[[#This Row],[dia_vencimento]]="", tbl_de_massas[[#This Row],[dia_vencimento]]="--"), "", WORKDAY(tbl_de_massas[[#This Row],[dia_vencimento]], 5))</f>
        <v>27</v>
      </c>
    </row>
    <row r="545" spans="1:18" x14ac:dyDescent="0.25">
      <c r="A545" t="s">
        <v>3871</v>
      </c>
      <c r="B545" t="s">
        <v>3872</v>
      </c>
      <c r="C545" s="32" t="s">
        <v>5827</v>
      </c>
      <c r="D545" t="s">
        <v>3873</v>
      </c>
      <c r="E545" s="54">
        <v>9997.48</v>
      </c>
      <c r="F545" s="54">
        <v>4908.18</v>
      </c>
      <c r="G545" s="54">
        <v>5354.64</v>
      </c>
      <c r="H545" s="54">
        <v>3870.86</v>
      </c>
      <c r="I545" t="s">
        <v>2877</v>
      </c>
      <c r="J545" s="31">
        <v>4908.18</v>
      </c>
      <c r="K545" s="36" t="s">
        <v>2675</v>
      </c>
      <c r="L545" t="s">
        <v>2502</v>
      </c>
      <c r="M545" t="s">
        <v>3874</v>
      </c>
      <c r="N545" t="s">
        <v>1341</v>
      </c>
      <c r="O545" t="s">
        <v>3875</v>
      </c>
      <c r="P545" t="s">
        <v>1341</v>
      </c>
      <c r="Q545" s="23">
        <v>46281.546021412039</v>
      </c>
      <c r="R545" s="32">
        <f>IF(OR(tbl_de_massas[[#This Row],[dia_vencimento]]="", tbl_de_massas[[#This Row],[dia_vencimento]]="--"), "", WORKDAY(tbl_de_massas[[#This Row],[dia_vencimento]], 5))</f>
        <v>12</v>
      </c>
    </row>
    <row r="546" spans="1:18" x14ac:dyDescent="0.25">
      <c r="A546" t="s">
        <v>3876</v>
      </c>
      <c r="B546" t="s">
        <v>3877</v>
      </c>
      <c r="C546" s="32" t="s">
        <v>607</v>
      </c>
      <c r="D546" t="s">
        <v>3878</v>
      </c>
      <c r="E546" s="54">
        <v>4248.6099999999997</v>
      </c>
      <c r="F546" s="54">
        <v>4994.1000000000004</v>
      </c>
      <c r="G546" s="54">
        <v>7352.87</v>
      </c>
      <c r="H546" s="54">
        <v>3870.86</v>
      </c>
      <c r="I546" t="s">
        <v>2877</v>
      </c>
      <c r="J546" s="31">
        <v>4994.1000000000004</v>
      </c>
      <c r="K546" s="36" t="s">
        <v>2675</v>
      </c>
      <c r="L546" t="s">
        <v>2502</v>
      </c>
      <c r="M546" t="s">
        <v>3879</v>
      </c>
      <c r="N546" t="s">
        <v>1345</v>
      </c>
      <c r="O546" t="s">
        <v>67</v>
      </c>
      <c r="Q546" s="23">
        <v>46281.54602386574</v>
      </c>
      <c r="R546" s="32">
        <f>IF(OR(tbl_de_massas[[#This Row],[dia_vencimento]]="", tbl_de_massas[[#This Row],[dia_vencimento]]="--"), "", WORKDAY(tbl_de_massas[[#This Row],[dia_vencimento]], 5))</f>
        <v>20</v>
      </c>
    </row>
    <row r="547" spans="1:18" x14ac:dyDescent="0.25">
      <c r="A547" t="s">
        <v>3880</v>
      </c>
      <c r="B547" t="s">
        <v>3881</v>
      </c>
      <c r="C547" s="32" t="s">
        <v>5835</v>
      </c>
      <c r="D547" t="s">
        <v>3882</v>
      </c>
      <c r="E547" s="54">
        <v>13768.08</v>
      </c>
      <c r="F547" s="54">
        <v>4865.76</v>
      </c>
      <c r="G547" s="54">
        <v>8760.68</v>
      </c>
      <c r="H547" s="54">
        <v>3870.86</v>
      </c>
      <c r="I547" t="s">
        <v>2877</v>
      </c>
      <c r="J547" s="31">
        <v>4865.76</v>
      </c>
      <c r="K547" s="36" t="s">
        <v>2675</v>
      </c>
      <c r="L547" t="s">
        <v>2502</v>
      </c>
      <c r="M547" t="s">
        <v>3883</v>
      </c>
      <c r="N547" t="s">
        <v>1345</v>
      </c>
      <c r="O547" t="s">
        <v>3884</v>
      </c>
      <c r="P547" t="s">
        <v>1345</v>
      </c>
      <c r="Q547" s="23">
        <v>46281.546026412034</v>
      </c>
      <c r="R547" s="32">
        <f>IF(OR(tbl_de_massas[[#This Row],[dia_vencimento]]="", tbl_de_massas[[#This Row],[dia_vencimento]]="--"), "", WORKDAY(tbl_de_massas[[#This Row],[dia_vencimento]], 5))</f>
        <v>25</v>
      </c>
    </row>
    <row r="548" spans="1:18" x14ac:dyDescent="0.25">
      <c r="A548" t="s">
        <v>3885</v>
      </c>
      <c r="B548" t="s">
        <v>3886</v>
      </c>
      <c r="C548" s="32" t="s">
        <v>5827</v>
      </c>
      <c r="D548" t="s">
        <v>3887</v>
      </c>
      <c r="E548" s="54">
        <v>1879.52</v>
      </c>
      <c r="F548" s="54">
        <v>4933.46</v>
      </c>
      <c r="G548" s="54">
        <v>12446.84</v>
      </c>
      <c r="H548" s="54">
        <v>3870.86</v>
      </c>
      <c r="I548" t="s">
        <v>2877</v>
      </c>
      <c r="J548" s="31">
        <v>4933.46</v>
      </c>
      <c r="K548" s="36" t="s">
        <v>2675</v>
      </c>
      <c r="L548" t="s">
        <v>2502</v>
      </c>
      <c r="M548" t="s">
        <v>3888</v>
      </c>
      <c r="N548" t="s">
        <v>1341</v>
      </c>
      <c r="O548" t="s">
        <v>67</v>
      </c>
      <c r="Q548" s="23">
        <v>46281.546029849538</v>
      </c>
      <c r="R548" s="32">
        <f>IF(OR(tbl_de_massas[[#This Row],[dia_vencimento]]="", tbl_de_massas[[#This Row],[dia_vencimento]]="--"), "", WORKDAY(tbl_de_massas[[#This Row],[dia_vencimento]], 5))</f>
        <v>12</v>
      </c>
    </row>
    <row r="549" spans="1:18" x14ac:dyDescent="0.25">
      <c r="A549" t="s">
        <v>3889</v>
      </c>
      <c r="B549" t="s">
        <v>3890</v>
      </c>
      <c r="C549" s="32" t="s">
        <v>2922</v>
      </c>
      <c r="D549" t="s">
        <v>3891</v>
      </c>
      <c r="E549" s="54">
        <v>9022.32</v>
      </c>
      <c r="F549" s="54">
        <v>847.91</v>
      </c>
      <c r="G549" s="54">
        <v>5776.77</v>
      </c>
      <c r="H549" s="54">
        <v>0</v>
      </c>
      <c r="I549" t="s">
        <v>2881</v>
      </c>
      <c r="J549" s="31">
        <v>847.91</v>
      </c>
      <c r="K549" s="36" t="s">
        <v>1306</v>
      </c>
      <c r="L549" t="s">
        <v>2504</v>
      </c>
      <c r="M549" t="s">
        <v>3892</v>
      </c>
      <c r="N549" t="s">
        <v>1341</v>
      </c>
      <c r="O549" t="s">
        <v>67</v>
      </c>
      <c r="Q549" s="23">
        <v>46281.546032546299</v>
      </c>
      <c r="R549" s="32">
        <f>IF(OR(tbl_de_massas[[#This Row],[dia_vencimento]]="", tbl_de_massas[[#This Row],[dia_vencimento]]="--"), "", WORKDAY(tbl_de_massas[[#This Row],[dia_vencimento]], 5))</f>
        <v>6</v>
      </c>
    </row>
    <row r="550" spans="1:18" x14ac:dyDescent="0.25">
      <c r="A550" t="s">
        <v>3893</v>
      </c>
      <c r="B550" t="s">
        <v>3894</v>
      </c>
      <c r="C550" s="32" t="s">
        <v>5836</v>
      </c>
      <c r="D550" t="s">
        <v>3895</v>
      </c>
      <c r="E550" s="54">
        <v>1995.94</v>
      </c>
      <c r="F550" s="54">
        <v>0</v>
      </c>
      <c r="G550" s="54">
        <v>21932.01</v>
      </c>
      <c r="H550" s="54">
        <v>0</v>
      </c>
      <c r="I550" t="s">
        <v>2881</v>
      </c>
      <c r="J550" s="31">
        <v>933.2</v>
      </c>
      <c r="K550" s="36" t="s">
        <v>1306</v>
      </c>
      <c r="L550" t="s">
        <v>2504</v>
      </c>
      <c r="M550" t="s">
        <v>3896</v>
      </c>
      <c r="N550" t="s">
        <v>1341</v>
      </c>
      <c r="O550" t="s">
        <v>67</v>
      </c>
      <c r="Q550" s="23">
        <v>46281.546034965279</v>
      </c>
      <c r="R550" s="32">
        <f>IF(OR(tbl_de_massas[[#This Row],[dia_vencimento]]="", tbl_de_massas[[#This Row],[dia_vencimento]]="--"), "", WORKDAY(tbl_de_massas[[#This Row],[dia_vencimento]], 5))</f>
        <v>34</v>
      </c>
    </row>
    <row r="551" spans="1:18" x14ac:dyDescent="0.25">
      <c r="A551" t="s">
        <v>3897</v>
      </c>
      <c r="B551" t="s">
        <v>3898</v>
      </c>
      <c r="C551" s="32" t="s">
        <v>5835</v>
      </c>
      <c r="D551" t="s">
        <v>3899</v>
      </c>
      <c r="E551" s="54">
        <v>8921.8799999999992</v>
      </c>
      <c r="F551" s="54">
        <v>4899.09</v>
      </c>
      <c r="G551" s="54">
        <v>-1027.0999999999999</v>
      </c>
      <c r="H551" s="54">
        <v>3870.86</v>
      </c>
      <c r="I551" t="s">
        <v>2877</v>
      </c>
      <c r="J551" s="31">
        <v>4899.09</v>
      </c>
      <c r="K551" s="36" t="s">
        <v>2675</v>
      </c>
      <c r="L551" t="s">
        <v>2502</v>
      </c>
      <c r="M551" t="s">
        <v>67</v>
      </c>
      <c r="O551" t="s">
        <v>3900</v>
      </c>
      <c r="P551" t="s">
        <v>1345</v>
      </c>
      <c r="Q551" s="23">
        <v>46281.546036967593</v>
      </c>
      <c r="R551" s="32">
        <f>IF(OR(tbl_de_massas[[#This Row],[dia_vencimento]]="", tbl_de_massas[[#This Row],[dia_vencimento]]="--"), "", WORKDAY(tbl_de_massas[[#This Row],[dia_vencimento]], 5))</f>
        <v>25</v>
      </c>
    </row>
    <row r="552" spans="1:18" x14ac:dyDescent="0.25">
      <c r="A552" t="s">
        <v>3901</v>
      </c>
      <c r="B552" t="s">
        <v>3902</v>
      </c>
      <c r="C552" s="32" t="s">
        <v>2925</v>
      </c>
      <c r="D552" t="s">
        <v>3903</v>
      </c>
      <c r="E552" s="54">
        <v>1698.79</v>
      </c>
      <c r="F552" s="54">
        <v>203.94</v>
      </c>
      <c r="G552" s="54">
        <v>6070.29</v>
      </c>
      <c r="H552" s="54">
        <v>0</v>
      </c>
      <c r="I552" t="s">
        <v>2881</v>
      </c>
      <c r="J552" s="31">
        <v>917.71</v>
      </c>
      <c r="K552" s="36" t="s">
        <v>1306</v>
      </c>
      <c r="L552" t="s">
        <v>2504</v>
      </c>
      <c r="M552" t="s">
        <v>67</v>
      </c>
      <c r="O552" t="s">
        <v>3904</v>
      </c>
      <c r="P552" t="s">
        <v>1341</v>
      </c>
      <c r="Q552" s="23">
        <v>46281.546039479166</v>
      </c>
      <c r="R552" s="32">
        <f>IF(OR(tbl_de_massas[[#This Row],[dia_vencimento]]="", tbl_de_massas[[#This Row],[dia_vencimento]]="--"), "", WORKDAY(tbl_de_massas[[#This Row],[dia_vencimento]], 5))</f>
        <v>24</v>
      </c>
    </row>
    <row r="553" spans="1:18" x14ac:dyDescent="0.25">
      <c r="A553" t="s">
        <v>3905</v>
      </c>
      <c r="B553" t="s">
        <v>3906</v>
      </c>
      <c r="C553" s="32" t="s">
        <v>2360</v>
      </c>
      <c r="D553" t="s">
        <v>3907</v>
      </c>
      <c r="E553" s="54">
        <v>10618.8</v>
      </c>
      <c r="F553" s="54">
        <v>815.09</v>
      </c>
      <c r="G553" s="54">
        <v>10060.700000000001</v>
      </c>
      <c r="H553" s="54">
        <v>0</v>
      </c>
      <c r="I553" t="s">
        <v>2881</v>
      </c>
      <c r="J553" s="31">
        <v>815.09</v>
      </c>
      <c r="K553" s="36" t="s">
        <v>1306</v>
      </c>
      <c r="L553" t="s">
        <v>2504</v>
      </c>
      <c r="M553" t="s">
        <v>3908</v>
      </c>
      <c r="N553" t="s">
        <v>1341</v>
      </c>
      <c r="O553" t="s">
        <v>67</v>
      </c>
      <c r="Q553" s="23">
        <v>46281.546041516202</v>
      </c>
      <c r="R553" s="32">
        <f>IF(OR(tbl_de_massas[[#This Row],[dia_vencimento]]="", tbl_de_massas[[#This Row],[dia_vencimento]]="--"), "", WORKDAY(tbl_de_massas[[#This Row],[dia_vencimento]], 5))</f>
        <v>19</v>
      </c>
    </row>
    <row r="554" spans="1:18" x14ac:dyDescent="0.25">
      <c r="A554" t="s">
        <v>3909</v>
      </c>
      <c r="B554" t="s">
        <v>3910</v>
      </c>
      <c r="C554" s="32" t="s">
        <v>5827</v>
      </c>
      <c r="D554" t="s">
        <v>3911</v>
      </c>
      <c r="E554" s="54">
        <v>5831.79</v>
      </c>
      <c r="F554" s="54">
        <v>5013.68</v>
      </c>
      <c r="G554" s="54">
        <v>2453.31</v>
      </c>
      <c r="H554" s="54">
        <v>3870.86</v>
      </c>
      <c r="I554" t="s">
        <v>2877</v>
      </c>
      <c r="J554" s="31">
        <v>5013.68</v>
      </c>
      <c r="K554" s="36" t="s">
        <v>2675</v>
      </c>
      <c r="L554" t="s">
        <v>2502</v>
      </c>
      <c r="M554" t="s">
        <v>3912</v>
      </c>
      <c r="N554" t="s">
        <v>1341</v>
      </c>
      <c r="O554" t="s">
        <v>67</v>
      </c>
      <c r="Q554" s="23">
        <v>46281.546043599534</v>
      </c>
      <c r="R554" s="32">
        <f>IF(OR(tbl_de_massas[[#This Row],[dia_vencimento]]="", tbl_de_massas[[#This Row],[dia_vencimento]]="--"), "", WORKDAY(tbl_de_massas[[#This Row],[dia_vencimento]], 5))</f>
        <v>12</v>
      </c>
    </row>
    <row r="555" spans="1:18" x14ac:dyDescent="0.25">
      <c r="A555" s="49" t="s">
        <v>3913</v>
      </c>
      <c r="B555" s="49" t="s">
        <v>3914</v>
      </c>
      <c r="C555" s="50" t="s">
        <v>5832</v>
      </c>
      <c r="D555" s="49" t="s">
        <v>3915</v>
      </c>
      <c r="E555" s="55">
        <v>15483.83</v>
      </c>
      <c r="F555" s="55">
        <v>200</v>
      </c>
      <c r="G555" s="55">
        <v>12069.36</v>
      </c>
      <c r="H555" s="55">
        <v>0</v>
      </c>
      <c r="I555" s="49" t="s">
        <v>2881</v>
      </c>
      <c r="J555" s="51">
        <v>1831.22</v>
      </c>
      <c r="K555" s="53" t="s">
        <v>1306</v>
      </c>
      <c r="L555" s="49" t="s">
        <v>2504</v>
      </c>
      <c r="M555" s="49" t="s">
        <v>67</v>
      </c>
      <c r="N555" s="49"/>
      <c r="O555" s="49" t="s">
        <v>3916</v>
      </c>
      <c r="P555" s="49" t="s">
        <v>1341</v>
      </c>
      <c r="Q555" s="52">
        <v>46281.546046770833</v>
      </c>
      <c r="R555" s="50">
        <f>IF(OR(tbl_de_massas[[#This Row],[dia_vencimento]]="", tbl_de_massas[[#This Row],[dia_vencimento]]="--"), "", WORKDAY(tbl_de_massas[[#This Row],[dia_vencimento]], 5))</f>
        <v>27</v>
      </c>
    </row>
    <row r="556" spans="1:18" x14ac:dyDescent="0.25">
      <c r="A556" t="s">
        <v>3917</v>
      </c>
      <c r="B556" t="s">
        <v>3918</v>
      </c>
      <c r="C556" s="32" t="s">
        <v>5828</v>
      </c>
      <c r="D556" t="s">
        <v>3919</v>
      </c>
      <c r="E556" s="54">
        <v>3571.83</v>
      </c>
      <c r="F556" s="54">
        <v>0</v>
      </c>
      <c r="G556" s="54">
        <v>19281.66</v>
      </c>
      <c r="H556" s="54">
        <v>0</v>
      </c>
      <c r="I556" t="s">
        <v>2881</v>
      </c>
      <c r="J556" s="31">
        <v>811.23</v>
      </c>
      <c r="K556" s="36" t="s">
        <v>1306</v>
      </c>
      <c r="L556" t="s">
        <v>2504</v>
      </c>
      <c r="M556" t="s">
        <v>3920</v>
      </c>
      <c r="N556" t="s">
        <v>1341</v>
      </c>
      <c r="O556" t="s">
        <v>3921</v>
      </c>
      <c r="P556" t="s">
        <v>1341</v>
      </c>
      <c r="Q556" s="23">
        <v>46281.546049108794</v>
      </c>
      <c r="R556" s="32">
        <f>IF(OR(tbl_de_massas[[#This Row],[dia_vencimento]]="", tbl_de_massas[[#This Row],[dia_vencimento]]="--"), "", WORKDAY(tbl_de_massas[[#This Row],[dia_vencimento]], 5))</f>
        <v>33</v>
      </c>
    </row>
    <row r="557" spans="1:18" x14ac:dyDescent="0.25">
      <c r="A557" t="s">
        <v>3922</v>
      </c>
      <c r="B557" t="s">
        <v>3923</v>
      </c>
      <c r="C557" s="32" t="s">
        <v>5833</v>
      </c>
      <c r="D557" t="s">
        <v>3924</v>
      </c>
      <c r="E557" s="54">
        <v>1802.14</v>
      </c>
      <c r="F557" s="54">
        <v>545.88</v>
      </c>
      <c r="G557" s="54">
        <v>5276.18</v>
      </c>
      <c r="H557" s="54">
        <v>0</v>
      </c>
      <c r="I557" t="s">
        <v>2881</v>
      </c>
      <c r="J557" s="31">
        <v>545.88</v>
      </c>
      <c r="K557" s="36" t="s">
        <v>1306</v>
      </c>
      <c r="L557" t="s">
        <v>2504</v>
      </c>
      <c r="M557" t="s">
        <v>3925</v>
      </c>
      <c r="N557" t="s">
        <v>1341</v>
      </c>
      <c r="O557" t="s">
        <v>67</v>
      </c>
      <c r="Q557" s="23">
        <v>46281.546052129626</v>
      </c>
      <c r="R557" s="32">
        <f>IF(OR(tbl_de_massas[[#This Row],[dia_vencimento]]="", tbl_de_massas[[#This Row],[dia_vencimento]]="--"), "", WORKDAY(tbl_de_massas[[#This Row],[dia_vencimento]], 5))</f>
        <v>13</v>
      </c>
    </row>
    <row r="558" spans="1:18" x14ac:dyDescent="0.25">
      <c r="A558" t="s">
        <v>3926</v>
      </c>
      <c r="B558" t="s">
        <v>3927</v>
      </c>
      <c r="C558" s="32" t="s">
        <v>2361</v>
      </c>
      <c r="D558" t="s">
        <v>3928</v>
      </c>
      <c r="E558" s="54">
        <v>1786.58</v>
      </c>
      <c r="F558" s="54">
        <v>601.55999999999995</v>
      </c>
      <c r="G558" s="54">
        <v>19397.77</v>
      </c>
      <c r="H558" s="54">
        <v>0</v>
      </c>
      <c r="I558" t="s">
        <v>2881</v>
      </c>
      <c r="J558" s="31">
        <v>601.55999999999995</v>
      </c>
      <c r="K558" s="36" t="s">
        <v>1306</v>
      </c>
      <c r="L558" t="s">
        <v>2504</v>
      </c>
      <c r="M558" t="s">
        <v>3929</v>
      </c>
      <c r="N558" t="s">
        <v>1345</v>
      </c>
      <c r="O558" t="s">
        <v>3930</v>
      </c>
      <c r="P558" t="s">
        <v>1345</v>
      </c>
      <c r="Q558" s="23">
        <v>46281.549239988424</v>
      </c>
      <c r="R558" s="32">
        <f>IF(OR(tbl_de_massas[[#This Row],[dia_vencimento]]="", tbl_de_massas[[#This Row],[dia_vencimento]]="--"), "", WORKDAY(tbl_de_massas[[#This Row],[dia_vencimento]], 5))</f>
        <v>20</v>
      </c>
    </row>
    <row r="559" spans="1:18" x14ac:dyDescent="0.25">
      <c r="A559" t="s">
        <v>3931</v>
      </c>
      <c r="B559" t="s">
        <v>3932</v>
      </c>
      <c r="C559" s="32" t="s">
        <v>608</v>
      </c>
      <c r="D559" t="s">
        <v>3933</v>
      </c>
      <c r="E559" s="54">
        <v>15215.99</v>
      </c>
      <c r="F559" s="54">
        <v>0</v>
      </c>
      <c r="G559" s="54">
        <v>10531.74</v>
      </c>
      <c r="H559" s="54">
        <v>0</v>
      </c>
      <c r="I559" t="s">
        <v>2881</v>
      </c>
      <c r="J559" s="31">
        <v>802.08</v>
      </c>
      <c r="K559" s="36" t="s">
        <v>1306</v>
      </c>
      <c r="L559" t="s">
        <v>2504</v>
      </c>
      <c r="M559" t="s">
        <v>67</v>
      </c>
      <c r="O559" t="s">
        <v>3934</v>
      </c>
      <c r="P559" t="s">
        <v>1341</v>
      </c>
      <c r="Q559" s="23">
        <v>46281.549243657406</v>
      </c>
      <c r="R559" s="32">
        <f>IF(OR(tbl_de_massas[[#This Row],[dia_vencimento]]="", tbl_de_massas[[#This Row],[dia_vencimento]]="--"), "", WORKDAY(tbl_de_massas[[#This Row],[dia_vencimento]], 5))</f>
        <v>27</v>
      </c>
    </row>
    <row r="560" spans="1:18" x14ac:dyDescent="0.25">
      <c r="A560" t="s">
        <v>3935</v>
      </c>
      <c r="B560" t="s">
        <v>3936</v>
      </c>
      <c r="C560" s="32" t="s">
        <v>2924</v>
      </c>
      <c r="D560" t="s">
        <v>3937</v>
      </c>
      <c r="E560" s="54">
        <v>12996.31</v>
      </c>
      <c r="F560" s="54">
        <v>4683.3599999999997</v>
      </c>
      <c r="G560" s="54">
        <v>-2435.7199999999998</v>
      </c>
      <c r="H560" s="54">
        <v>3870.86</v>
      </c>
      <c r="I560" t="s">
        <v>2877</v>
      </c>
      <c r="J560" s="31">
        <v>4683.3599999999997</v>
      </c>
      <c r="K560" s="36" t="s">
        <v>2675</v>
      </c>
      <c r="L560" t="s">
        <v>2502</v>
      </c>
      <c r="M560" t="s">
        <v>67</v>
      </c>
      <c r="O560" t="s">
        <v>3938</v>
      </c>
      <c r="P560" t="s">
        <v>1341</v>
      </c>
      <c r="Q560" s="23">
        <v>46281.549254409721</v>
      </c>
      <c r="R560" s="32">
        <f>IF(OR(tbl_de_massas[[#This Row],[dia_vencimento]]="", tbl_de_massas[[#This Row],[dia_vencimento]]="--"), "", WORKDAY(tbl_de_massas[[#This Row],[dia_vencimento]], 5))</f>
        <v>26</v>
      </c>
    </row>
    <row r="561" spans="1:18" x14ac:dyDescent="0.25">
      <c r="A561" t="s">
        <v>3939</v>
      </c>
      <c r="B561" t="s">
        <v>3940</v>
      </c>
      <c r="C561" s="32" t="s">
        <v>5827</v>
      </c>
      <c r="D561" t="s">
        <v>3941</v>
      </c>
      <c r="E561" s="54">
        <v>6040.84</v>
      </c>
      <c r="F561" s="54">
        <v>903.1</v>
      </c>
      <c r="G561" s="54">
        <v>15171.22</v>
      </c>
      <c r="H561" s="54">
        <v>0</v>
      </c>
      <c r="I561" t="s">
        <v>2881</v>
      </c>
      <c r="J561" s="31">
        <v>903.1</v>
      </c>
      <c r="K561" s="36" t="s">
        <v>1306</v>
      </c>
      <c r="L561" t="s">
        <v>2504</v>
      </c>
      <c r="M561" t="s">
        <v>3942</v>
      </c>
      <c r="N561" t="s">
        <v>1341</v>
      </c>
      <c r="O561" t="s">
        <v>3943</v>
      </c>
      <c r="P561" t="s">
        <v>1341</v>
      </c>
      <c r="Q561" s="23">
        <v>46281.549263425928</v>
      </c>
      <c r="R561" s="32">
        <f>IF(OR(tbl_de_massas[[#This Row],[dia_vencimento]]="", tbl_de_massas[[#This Row],[dia_vencimento]]="--"), "", WORKDAY(tbl_de_massas[[#This Row],[dia_vencimento]], 5))</f>
        <v>12</v>
      </c>
    </row>
    <row r="562" spans="1:18" x14ac:dyDescent="0.25">
      <c r="A562" t="s">
        <v>3944</v>
      </c>
      <c r="B562" t="s">
        <v>3945</v>
      </c>
      <c r="C562" s="32" t="s">
        <v>5837</v>
      </c>
      <c r="D562" t="s">
        <v>3946</v>
      </c>
      <c r="E562" s="54">
        <v>950.76</v>
      </c>
      <c r="F562" s="54">
        <v>869.31</v>
      </c>
      <c r="G562" s="54">
        <v>13853.55</v>
      </c>
      <c r="H562" s="54">
        <v>0</v>
      </c>
      <c r="I562" t="s">
        <v>2881</v>
      </c>
      <c r="J562" s="31">
        <v>869.31</v>
      </c>
      <c r="K562" s="36" t="s">
        <v>1306</v>
      </c>
      <c r="L562" t="s">
        <v>2504</v>
      </c>
      <c r="M562" t="s">
        <v>3947</v>
      </c>
      <c r="N562" t="s">
        <v>1341</v>
      </c>
      <c r="O562" t="s">
        <v>67</v>
      </c>
      <c r="Q562" s="23">
        <v>46281.549267939816</v>
      </c>
      <c r="R562" s="32">
        <f>IF(OR(tbl_de_massas[[#This Row],[dia_vencimento]]="", tbl_de_massas[[#This Row],[dia_vencimento]]="--"), "", WORKDAY(tbl_de_massas[[#This Row],[dia_vencimento]], 5))</f>
        <v>9</v>
      </c>
    </row>
    <row r="563" spans="1:18" x14ac:dyDescent="0.25">
      <c r="A563" t="s">
        <v>3948</v>
      </c>
      <c r="B563" t="s">
        <v>3949</v>
      </c>
      <c r="C563" s="32" t="s">
        <v>2675</v>
      </c>
      <c r="D563" t="s">
        <v>3950</v>
      </c>
      <c r="E563" s="54">
        <v>3684.28</v>
      </c>
      <c r="F563" s="54">
        <v>4938.66</v>
      </c>
      <c r="G563" s="54">
        <v>10373.68</v>
      </c>
      <c r="H563" s="54">
        <v>3870.86</v>
      </c>
      <c r="I563" t="s">
        <v>2877</v>
      </c>
      <c r="J563" s="31">
        <v>4938.66</v>
      </c>
      <c r="K563" s="36" t="s">
        <v>2675</v>
      </c>
      <c r="L563" t="s">
        <v>2502</v>
      </c>
      <c r="M563" t="s">
        <v>3951</v>
      </c>
      <c r="N563" t="s">
        <v>1341</v>
      </c>
      <c r="O563" t="s">
        <v>3952</v>
      </c>
      <c r="P563" t="s">
        <v>1341</v>
      </c>
      <c r="Q563" s="23">
        <v>46281.549271400465</v>
      </c>
      <c r="R563" s="32">
        <f>IF(OR(tbl_de_massas[[#This Row],[dia_vencimento]]="", tbl_de_massas[[#This Row],[dia_vencimento]]="--"), "", WORKDAY(tbl_de_massas[[#This Row],[dia_vencimento]], 5))</f>
        <v>23</v>
      </c>
    </row>
    <row r="564" spans="1:18" x14ac:dyDescent="0.25">
      <c r="A564" t="s">
        <v>3953</v>
      </c>
      <c r="B564" t="s">
        <v>3954</v>
      </c>
      <c r="C564" s="32" t="s">
        <v>5828</v>
      </c>
      <c r="D564" t="s">
        <v>3955</v>
      </c>
      <c r="E564" s="54">
        <v>6554.72</v>
      </c>
      <c r="F564" s="54">
        <v>5070.74</v>
      </c>
      <c r="G564" s="54">
        <v>8765.68</v>
      </c>
      <c r="H564" s="54">
        <v>3870.86</v>
      </c>
      <c r="I564" t="s">
        <v>2877</v>
      </c>
      <c r="J564" s="31">
        <v>5070.74</v>
      </c>
      <c r="K564" s="36" t="s">
        <v>2675</v>
      </c>
      <c r="L564" t="s">
        <v>2502</v>
      </c>
      <c r="M564" t="s">
        <v>3956</v>
      </c>
      <c r="N564" t="s">
        <v>1341</v>
      </c>
      <c r="O564" t="s">
        <v>3957</v>
      </c>
      <c r="P564" t="s">
        <v>1341</v>
      </c>
      <c r="Q564" s="23">
        <v>46281.549274733799</v>
      </c>
      <c r="R564" s="32">
        <f>IF(OR(tbl_de_massas[[#This Row],[dia_vencimento]]="", tbl_de_massas[[#This Row],[dia_vencimento]]="--"), "", WORKDAY(tbl_de_massas[[#This Row],[dia_vencimento]], 5))</f>
        <v>33</v>
      </c>
    </row>
    <row r="565" spans="1:18" x14ac:dyDescent="0.25">
      <c r="A565" t="s">
        <v>3958</v>
      </c>
      <c r="B565" t="s">
        <v>3959</v>
      </c>
      <c r="C565" s="32" t="s">
        <v>5832</v>
      </c>
      <c r="D565" t="s">
        <v>3960</v>
      </c>
      <c r="E565" s="54">
        <v>4774.95</v>
      </c>
      <c r="F565" s="54">
        <v>0</v>
      </c>
      <c r="G565" s="54">
        <v>7580.8</v>
      </c>
      <c r="H565" s="54">
        <v>0</v>
      </c>
      <c r="I565" t="s">
        <v>2881</v>
      </c>
      <c r="J565" s="31">
        <v>968.38</v>
      </c>
      <c r="K565" s="36" t="s">
        <v>1306</v>
      </c>
      <c r="L565" t="s">
        <v>2504</v>
      </c>
      <c r="M565" t="s">
        <v>3961</v>
      </c>
      <c r="N565" t="s">
        <v>1341</v>
      </c>
      <c r="O565" t="s">
        <v>67</v>
      </c>
      <c r="Q565" s="23">
        <v>46281.549277719911</v>
      </c>
      <c r="R565" s="32">
        <f>IF(OR(tbl_de_massas[[#This Row],[dia_vencimento]]="", tbl_de_massas[[#This Row],[dia_vencimento]]="--"), "", WORKDAY(tbl_de_massas[[#This Row],[dia_vencimento]], 5))</f>
        <v>27</v>
      </c>
    </row>
    <row r="566" spans="1:18" x14ac:dyDescent="0.25">
      <c r="A566" t="s">
        <v>3962</v>
      </c>
      <c r="B566" t="s">
        <v>3963</v>
      </c>
      <c r="C566" s="32" t="s">
        <v>2921</v>
      </c>
      <c r="D566" t="s">
        <v>3964</v>
      </c>
      <c r="E566" s="54">
        <v>5118.99</v>
      </c>
      <c r="F566" s="54">
        <v>939.52</v>
      </c>
      <c r="G566" s="54">
        <v>3474.3</v>
      </c>
      <c r="H566" s="54">
        <v>0</v>
      </c>
      <c r="I566" t="s">
        <v>2881</v>
      </c>
      <c r="J566" s="31">
        <v>939.52</v>
      </c>
      <c r="K566" s="36" t="s">
        <v>1306</v>
      </c>
      <c r="L566" t="s">
        <v>2504</v>
      </c>
      <c r="M566" t="s">
        <v>3965</v>
      </c>
      <c r="N566" t="s">
        <v>1345</v>
      </c>
      <c r="O566" t="s">
        <v>3966</v>
      </c>
      <c r="P566" t="s">
        <v>1345</v>
      </c>
      <c r="Q566" s="23">
        <v>46281.549279791667</v>
      </c>
      <c r="R566" s="32">
        <f>IF(OR(tbl_de_massas[[#This Row],[dia_vencimento]]="", tbl_de_massas[[#This Row],[dia_vencimento]]="--"), "", WORKDAY(tbl_de_massas[[#This Row],[dia_vencimento]], 5))</f>
        <v>13</v>
      </c>
    </row>
    <row r="567" spans="1:18" x14ac:dyDescent="0.25">
      <c r="A567" t="s">
        <v>3967</v>
      </c>
      <c r="B567" t="s">
        <v>3968</v>
      </c>
      <c r="C567" s="32" t="s">
        <v>5829</v>
      </c>
      <c r="D567" t="s">
        <v>3969</v>
      </c>
      <c r="E567" s="54">
        <v>6735.11</v>
      </c>
      <c r="F567" s="54">
        <v>4686.1899999999996</v>
      </c>
      <c r="G567" s="54">
        <v>-1983.55</v>
      </c>
      <c r="H567" s="54">
        <v>3870.86</v>
      </c>
      <c r="I567" t="s">
        <v>2877</v>
      </c>
      <c r="J567" s="31">
        <v>4686.1899999999996</v>
      </c>
      <c r="K567" s="36" t="s">
        <v>2675</v>
      </c>
      <c r="L567" t="s">
        <v>2502</v>
      </c>
      <c r="M567" t="s">
        <v>67</v>
      </c>
      <c r="O567" t="s">
        <v>3970</v>
      </c>
      <c r="P567" t="s">
        <v>1341</v>
      </c>
      <c r="Q567" s="23">
        <v>46281.54928240741</v>
      </c>
      <c r="R567" s="32">
        <f>IF(OR(tbl_de_massas[[#This Row],[dia_vencimento]]="", tbl_de_massas[[#This Row],[dia_vencimento]]="--"), "", WORKDAY(tbl_de_massas[[#This Row],[dia_vencimento]], 5))</f>
        <v>30</v>
      </c>
    </row>
    <row r="568" spans="1:18" x14ac:dyDescent="0.25">
      <c r="A568" t="s">
        <v>3971</v>
      </c>
      <c r="B568" t="s">
        <v>3972</v>
      </c>
      <c r="C568" s="32" t="s">
        <v>5832</v>
      </c>
      <c r="D568" t="s">
        <v>3973</v>
      </c>
      <c r="E568" s="54">
        <v>5651.92</v>
      </c>
      <c r="F568" s="54">
        <v>4698.83</v>
      </c>
      <c r="G568" s="54">
        <v>7267.97</v>
      </c>
      <c r="H568" s="54">
        <v>3870.86</v>
      </c>
      <c r="I568" t="s">
        <v>2877</v>
      </c>
      <c r="J568" s="31">
        <v>4698.83</v>
      </c>
      <c r="K568" s="36" t="s">
        <v>2675</v>
      </c>
      <c r="L568" t="s">
        <v>2502</v>
      </c>
      <c r="M568" t="s">
        <v>67</v>
      </c>
      <c r="O568" t="s">
        <v>3974</v>
      </c>
      <c r="P568" t="s">
        <v>1341</v>
      </c>
      <c r="Q568" s="23">
        <v>46281.549285127316</v>
      </c>
      <c r="R568" s="32">
        <f>IF(OR(tbl_de_massas[[#This Row],[dia_vencimento]]="", tbl_de_massas[[#This Row],[dia_vencimento]]="--"), "", WORKDAY(tbl_de_massas[[#This Row],[dia_vencimento]], 5))</f>
        <v>27</v>
      </c>
    </row>
    <row r="569" spans="1:18" x14ac:dyDescent="0.25">
      <c r="A569" t="s">
        <v>3975</v>
      </c>
      <c r="B569" t="s">
        <v>3976</v>
      </c>
      <c r="C569" s="32" t="s">
        <v>5835</v>
      </c>
      <c r="D569" t="s">
        <v>3977</v>
      </c>
      <c r="E569" s="54">
        <v>9776.0499999999993</v>
      </c>
      <c r="F569" s="54">
        <v>0</v>
      </c>
      <c r="G569" s="54">
        <v>10219.39</v>
      </c>
      <c r="H569" s="54">
        <v>0</v>
      </c>
      <c r="I569" t="s">
        <v>2881</v>
      </c>
      <c r="J569" s="31">
        <v>484.02</v>
      </c>
      <c r="K569" s="36" t="s">
        <v>1306</v>
      </c>
      <c r="L569" t="s">
        <v>2504</v>
      </c>
      <c r="M569" t="s">
        <v>3978</v>
      </c>
      <c r="N569" t="s">
        <v>1341</v>
      </c>
      <c r="O569" t="s">
        <v>3979</v>
      </c>
      <c r="P569" t="s">
        <v>1341</v>
      </c>
      <c r="Q569" s="23">
        <v>46281.549287847221</v>
      </c>
      <c r="R569" s="32">
        <f>IF(OR(tbl_de_massas[[#This Row],[dia_vencimento]]="", tbl_de_massas[[#This Row],[dia_vencimento]]="--"), "", WORKDAY(tbl_de_massas[[#This Row],[dia_vencimento]], 5))</f>
        <v>25</v>
      </c>
    </row>
    <row r="570" spans="1:18" x14ac:dyDescent="0.25">
      <c r="A570" t="s">
        <v>3980</v>
      </c>
      <c r="B570" t="s">
        <v>3981</v>
      </c>
      <c r="C570" s="32" t="s">
        <v>5830</v>
      </c>
      <c r="D570" t="s">
        <v>3982</v>
      </c>
      <c r="E570" s="54">
        <v>7265.52</v>
      </c>
      <c r="F570" s="54">
        <v>4693.29</v>
      </c>
      <c r="G570" s="54">
        <v>634.82000000000005</v>
      </c>
      <c r="H570" s="54">
        <v>3870.86</v>
      </c>
      <c r="I570" t="s">
        <v>2877</v>
      </c>
      <c r="J570" s="31">
        <v>4693.29</v>
      </c>
      <c r="K570" s="36" t="s">
        <v>2675</v>
      </c>
      <c r="L570" t="s">
        <v>2502</v>
      </c>
      <c r="M570" t="s">
        <v>3983</v>
      </c>
      <c r="N570" t="s">
        <v>1341</v>
      </c>
      <c r="O570" t="s">
        <v>67</v>
      </c>
      <c r="Q570" s="23">
        <v>46281.549290381947</v>
      </c>
      <c r="R570" s="32">
        <f>IF(OR(tbl_de_massas[[#This Row],[dia_vencimento]]="", tbl_de_massas[[#This Row],[dia_vencimento]]="--"), "", WORKDAY(tbl_de_massas[[#This Row],[dia_vencimento]], 5))</f>
        <v>13</v>
      </c>
    </row>
    <row r="571" spans="1:18" x14ac:dyDescent="0.25">
      <c r="A571" t="s">
        <v>3984</v>
      </c>
      <c r="B571" t="s">
        <v>3985</v>
      </c>
      <c r="C571" s="32" t="s">
        <v>607</v>
      </c>
      <c r="D571" t="s">
        <v>3986</v>
      </c>
      <c r="E571" s="54">
        <v>13095.73</v>
      </c>
      <c r="F571" s="54">
        <v>5013.4399999999996</v>
      </c>
      <c r="G571" s="54">
        <v>9421.52</v>
      </c>
      <c r="H571" s="54">
        <v>3870.86</v>
      </c>
      <c r="I571" t="s">
        <v>2877</v>
      </c>
      <c r="J571" s="31">
        <v>5013.4399999999996</v>
      </c>
      <c r="K571" s="36" t="s">
        <v>2675</v>
      </c>
      <c r="L571" t="s">
        <v>2502</v>
      </c>
      <c r="M571" t="s">
        <v>67</v>
      </c>
      <c r="O571" t="s">
        <v>3987</v>
      </c>
      <c r="P571" t="s">
        <v>1341</v>
      </c>
      <c r="Q571" s="23">
        <v>46281.549293217591</v>
      </c>
      <c r="R571" s="32">
        <f>IF(OR(tbl_de_massas[[#This Row],[dia_vencimento]]="", tbl_de_massas[[#This Row],[dia_vencimento]]="--"), "", WORKDAY(tbl_de_massas[[#This Row],[dia_vencimento]], 5))</f>
        <v>20</v>
      </c>
    </row>
    <row r="572" spans="1:18" x14ac:dyDescent="0.25">
      <c r="A572" t="s">
        <v>3988</v>
      </c>
      <c r="B572" t="s">
        <v>3989</v>
      </c>
      <c r="C572" s="32" t="s">
        <v>5831</v>
      </c>
      <c r="D572" t="s">
        <v>3990</v>
      </c>
      <c r="E572" s="54">
        <v>9605.73</v>
      </c>
      <c r="F572" s="54">
        <v>431.42</v>
      </c>
      <c r="G572" s="54">
        <v>15008.44</v>
      </c>
      <c r="H572" s="54">
        <v>0</v>
      </c>
      <c r="I572" t="s">
        <v>2881</v>
      </c>
      <c r="J572" s="31">
        <v>431.42</v>
      </c>
      <c r="K572" s="36" t="s">
        <v>1306</v>
      </c>
      <c r="L572" t="s">
        <v>2504</v>
      </c>
      <c r="M572" t="s">
        <v>3991</v>
      </c>
      <c r="N572" t="s">
        <v>1341</v>
      </c>
      <c r="O572" t="s">
        <v>3992</v>
      </c>
      <c r="P572" t="s">
        <v>1341</v>
      </c>
      <c r="Q572" s="23">
        <v>46281.549296145837</v>
      </c>
      <c r="R572" s="32">
        <f>IF(OR(tbl_de_massas[[#This Row],[dia_vencimento]]="", tbl_de_massas[[#This Row],[dia_vencimento]]="--"), "", WORKDAY(tbl_de_massas[[#This Row],[dia_vencimento]], 5))</f>
        <v>16</v>
      </c>
    </row>
    <row r="573" spans="1:18" x14ac:dyDescent="0.25">
      <c r="A573" t="s">
        <v>3993</v>
      </c>
      <c r="B573" t="s">
        <v>3994</v>
      </c>
      <c r="C573" s="32" t="s">
        <v>5828</v>
      </c>
      <c r="D573" t="s">
        <v>3995</v>
      </c>
      <c r="E573" s="54">
        <v>4832.47</v>
      </c>
      <c r="F573" s="54">
        <v>0</v>
      </c>
      <c r="G573" s="54">
        <v>14843.34</v>
      </c>
      <c r="H573" s="54">
        <v>0</v>
      </c>
      <c r="I573" t="s">
        <v>2881</v>
      </c>
      <c r="J573" s="31">
        <v>807.09</v>
      </c>
      <c r="K573" s="36" t="s">
        <v>1306</v>
      </c>
      <c r="L573" t="s">
        <v>2504</v>
      </c>
      <c r="M573" t="s">
        <v>3996</v>
      </c>
      <c r="N573" t="s">
        <v>1341</v>
      </c>
      <c r="O573" t="s">
        <v>3997</v>
      </c>
      <c r="P573" t="s">
        <v>1341</v>
      </c>
      <c r="Q573" s="23">
        <v>46281.549298414349</v>
      </c>
      <c r="R573" s="32">
        <f>IF(OR(tbl_de_massas[[#This Row],[dia_vencimento]]="", tbl_de_massas[[#This Row],[dia_vencimento]]="--"), "", WORKDAY(tbl_de_massas[[#This Row],[dia_vencimento]], 5))</f>
        <v>33</v>
      </c>
    </row>
    <row r="574" spans="1:18" x14ac:dyDescent="0.25">
      <c r="A574" t="s">
        <v>3998</v>
      </c>
      <c r="B574" t="s">
        <v>3999</v>
      </c>
      <c r="C574" s="32" t="s">
        <v>5834</v>
      </c>
      <c r="D574" t="s">
        <v>4000</v>
      </c>
      <c r="E574" s="54">
        <v>2217.42</v>
      </c>
      <c r="F574" s="54">
        <v>4786.54</v>
      </c>
      <c r="G574" s="54">
        <v>13815.11</v>
      </c>
      <c r="H574" s="54">
        <v>3870.86</v>
      </c>
      <c r="I574" t="s">
        <v>2877</v>
      </c>
      <c r="J574" s="31">
        <v>4786.54</v>
      </c>
      <c r="K574" s="36" t="s">
        <v>2675</v>
      </c>
      <c r="L574" t="s">
        <v>2502</v>
      </c>
      <c r="M574" t="s">
        <v>67</v>
      </c>
      <c r="O574" t="s">
        <v>4001</v>
      </c>
      <c r="P574" t="s">
        <v>1341</v>
      </c>
      <c r="Q574" s="23">
        <v>46281.549301064813</v>
      </c>
      <c r="R574" s="32">
        <f>IF(OR(tbl_de_massas[[#This Row],[dia_vencimento]]="", tbl_de_massas[[#This Row],[dia_vencimento]]="--"), "", WORKDAY(tbl_de_massas[[#This Row],[dia_vencimento]], 5))</f>
        <v>10</v>
      </c>
    </row>
    <row r="575" spans="1:18" x14ac:dyDescent="0.25">
      <c r="A575" t="s">
        <v>4002</v>
      </c>
      <c r="B575" t="s">
        <v>4003</v>
      </c>
      <c r="C575" s="32" t="s">
        <v>2924</v>
      </c>
      <c r="D575" t="s">
        <v>4004</v>
      </c>
      <c r="E575" s="54">
        <v>1963.15</v>
      </c>
      <c r="F575" s="54">
        <v>0</v>
      </c>
      <c r="G575" s="54">
        <v>16841.77</v>
      </c>
      <c r="H575" s="54">
        <v>0</v>
      </c>
      <c r="I575" t="s">
        <v>2881</v>
      </c>
      <c r="J575" s="31">
        <v>799.09</v>
      </c>
      <c r="K575" s="36" t="s">
        <v>1306</v>
      </c>
      <c r="L575" t="s">
        <v>2504</v>
      </c>
      <c r="M575" t="s">
        <v>4005</v>
      </c>
      <c r="N575" t="s">
        <v>1341</v>
      </c>
      <c r="O575" t="s">
        <v>4006</v>
      </c>
      <c r="P575" t="s">
        <v>1341</v>
      </c>
      <c r="Q575" s="23">
        <v>46281.549303564818</v>
      </c>
      <c r="R575" s="32">
        <f>IF(OR(tbl_de_massas[[#This Row],[dia_vencimento]]="", tbl_de_massas[[#This Row],[dia_vencimento]]="--"), "", WORKDAY(tbl_de_massas[[#This Row],[dia_vencimento]], 5))</f>
        <v>26</v>
      </c>
    </row>
    <row r="576" spans="1:18" x14ac:dyDescent="0.25">
      <c r="A576" t="s">
        <v>4007</v>
      </c>
      <c r="B576" t="s">
        <v>4008</v>
      </c>
      <c r="C576" s="32" t="s">
        <v>608</v>
      </c>
      <c r="D576" t="s">
        <v>4009</v>
      </c>
      <c r="E576" s="54">
        <v>14908.65</v>
      </c>
      <c r="F576" s="54">
        <v>4938.08</v>
      </c>
      <c r="G576" s="54">
        <v>14051.67</v>
      </c>
      <c r="H576" s="54">
        <v>3870.86</v>
      </c>
      <c r="I576" t="s">
        <v>2877</v>
      </c>
      <c r="J576" s="31">
        <v>4938.08</v>
      </c>
      <c r="K576" s="36" t="s">
        <v>2675</v>
      </c>
      <c r="L576" t="s">
        <v>2502</v>
      </c>
      <c r="M576" t="s">
        <v>4010</v>
      </c>
      <c r="N576" t="s">
        <v>1345</v>
      </c>
      <c r="O576" t="s">
        <v>4011</v>
      </c>
      <c r="P576" t="s">
        <v>1345</v>
      </c>
      <c r="Q576" s="23">
        <v>46281.549305995373</v>
      </c>
      <c r="R576" s="32">
        <f>IF(OR(tbl_de_massas[[#This Row],[dia_vencimento]]="", tbl_de_massas[[#This Row],[dia_vencimento]]="--"), "", WORKDAY(tbl_de_massas[[#This Row],[dia_vencimento]], 5))</f>
        <v>27</v>
      </c>
    </row>
    <row r="577" spans="1:18" x14ac:dyDescent="0.25">
      <c r="A577" t="s">
        <v>4012</v>
      </c>
      <c r="B577" t="s">
        <v>4013</v>
      </c>
      <c r="C577" s="32" t="s">
        <v>5827</v>
      </c>
      <c r="D577" t="s">
        <v>4014</v>
      </c>
      <c r="E577" s="54">
        <v>6887.15</v>
      </c>
      <c r="F577" s="54">
        <v>4903.8599999999997</v>
      </c>
      <c r="G577" s="54">
        <v>-1538.09</v>
      </c>
      <c r="H577" s="54">
        <v>3870.86</v>
      </c>
      <c r="I577" t="s">
        <v>2877</v>
      </c>
      <c r="J577" s="31">
        <v>4903.8599999999997</v>
      </c>
      <c r="K577" s="36" t="s">
        <v>2675</v>
      </c>
      <c r="L577" t="s">
        <v>2502</v>
      </c>
      <c r="M577" t="s">
        <v>67</v>
      </c>
      <c r="O577" t="s">
        <v>4015</v>
      </c>
      <c r="P577" t="s">
        <v>1341</v>
      </c>
      <c r="Q577" s="23">
        <v>46281.549308831018</v>
      </c>
      <c r="R577" s="32">
        <f>IF(OR(tbl_de_massas[[#This Row],[dia_vencimento]]="", tbl_de_massas[[#This Row],[dia_vencimento]]="--"), "", WORKDAY(tbl_de_massas[[#This Row],[dia_vencimento]], 5))</f>
        <v>12</v>
      </c>
    </row>
    <row r="578" spans="1:18" x14ac:dyDescent="0.25">
      <c r="A578" t="s">
        <v>4016</v>
      </c>
      <c r="B578" t="s">
        <v>4017</v>
      </c>
      <c r="C578" s="32" t="s">
        <v>2361</v>
      </c>
      <c r="D578" t="s">
        <v>4018</v>
      </c>
      <c r="E578" s="54">
        <v>12090.58</v>
      </c>
      <c r="F578" s="54">
        <v>920.27</v>
      </c>
      <c r="G578" s="54">
        <v>18854.23</v>
      </c>
      <c r="H578" s="54">
        <v>0</v>
      </c>
      <c r="I578" t="s">
        <v>2881</v>
      </c>
      <c r="J578" s="31">
        <v>920.27</v>
      </c>
      <c r="K578" s="36" t="s">
        <v>1306</v>
      </c>
      <c r="L578" t="s">
        <v>2504</v>
      </c>
      <c r="M578" t="s">
        <v>4019</v>
      </c>
      <c r="N578" t="s">
        <v>1341</v>
      </c>
      <c r="O578" t="s">
        <v>67</v>
      </c>
      <c r="Q578" s="23">
        <v>46281.549311504627</v>
      </c>
      <c r="R578" s="32">
        <f>IF(OR(tbl_de_massas[[#This Row],[dia_vencimento]]="", tbl_de_massas[[#This Row],[dia_vencimento]]="--"), "", WORKDAY(tbl_de_massas[[#This Row],[dia_vencimento]], 5))</f>
        <v>20</v>
      </c>
    </row>
    <row r="579" spans="1:18" x14ac:dyDescent="0.25">
      <c r="A579" t="s">
        <v>4020</v>
      </c>
      <c r="B579" t="s">
        <v>4021</v>
      </c>
      <c r="C579" s="32" t="s">
        <v>608</v>
      </c>
      <c r="D579" t="s">
        <v>4022</v>
      </c>
      <c r="E579" s="54">
        <v>7069.19</v>
      </c>
      <c r="F579" s="54">
        <v>0</v>
      </c>
      <c r="G579" s="54">
        <v>9250.75</v>
      </c>
      <c r="H579" s="54">
        <v>0</v>
      </c>
      <c r="I579" t="s">
        <v>2881</v>
      </c>
      <c r="J579" s="31">
        <v>811.5</v>
      </c>
      <c r="K579" s="36" t="s">
        <v>1306</v>
      </c>
      <c r="L579" t="s">
        <v>2504</v>
      </c>
      <c r="M579" t="s">
        <v>4023</v>
      </c>
      <c r="N579" t="s">
        <v>1341</v>
      </c>
      <c r="O579" t="s">
        <v>67</v>
      </c>
      <c r="Q579" s="23">
        <v>46281.549313993055</v>
      </c>
      <c r="R579" s="32">
        <f>IF(OR(tbl_de_massas[[#This Row],[dia_vencimento]]="", tbl_de_massas[[#This Row],[dia_vencimento]]="--"), "", WORKDAY(tbl_de_massas[[#This Row],[dia_vencimento]], 5))</f>
        <v>27</v>
      </c>
    </row>
    <row r="580" spans="1:18" x14ac:dyDescent="0.25">
      <c r="A580" t="s">
        <v>4024</v>
      </c>
      <c r="B580" t="s">
        <v>4025</v>
      </c>
      <c r="C580" s="32" t="s">
        <v>5837</v>
      </c>
      <c r="D580" t="s">
        <v>4026</v>
      </c>
      <c r="E580" s="54">
        <v>14826.81</v>
      </c>
      <c r="F580" s="54">
        <v>4979.91</v>
      </c>
      <c r="G580" s="54">
        <v>16061.63</v>
      </c>
      <c r="H580" s="54">
        <v>3870.86</v>
      </c>
      <c r="I580" t="s">
        <v>2877</v>
      </c>
      <c r="J580" s="31">
        <v>4979.91</v>
      </c>
      <c r="K580" s="36" t="s">
        <v>2675</v>
      </c>
      <c r="L580" t="s">
        <v>2502</v>
      </c>
      <c r="M580" t="s">
        <v>67</v>
      </c>
      <c r="O580" t="s">
        <v>4027</v>
      </c>
      <c r="P580" t="s">
        <v>1341</v>
      </c>
      <c r="Q580" s="23">
        <v>46281.549316377314</v>
      </c>
      <c r="R580" s="32">
        <f>IF(OR(tbl_de_massas[[#This Row],[dia_vencimento]]="", tbl_de_massas[[#This Row],[dia_vencimento]]="--"), "", WORKDAY(tbl_de_massas[[#This Row],[dia_vencimento]], 5))</f>
        <v>9</v>
      </c>
    </row>
    <row r="581" spans="1:18" x14ac:dyDescent="0.25">
      <c r="A581" t="s">
        <v>4028</v>
      </c>
      <c r="B581" t="s">
        <v>4029</v>
      </c>
      <c r="C581" s="32" t="s">
        <v>5833</v>
      </c>
      <c r="D581" t="s">
        <v>4030</v>
      </c>
      <c r="E581" s="54">
        <v>1154.99</v>
      </c>
      <c r="F581" s="54">
        <v>4728.75</v>
      </c>
      <c r="G581" s="54">
        <v>16111.42</v>
      </c>
      <c r="H581" s="54">
        <v>3870.86</v>
      </c>
      <c r="I581" t="s">
        <v>2877</v>
      </c>
      <c r="J581" s="31">
        <v>4728.75</v>
      </c>
      <c r="K581" s="36" t="s">
        <v>2675</v>
      </c>
      <c r="L581" t="s">
        <v>2502</v>
      </c>
      <c r="M581" t="s">
        <v>4031</v>
      </c>
      <c r="N581" t="s">
        <v>1341</v>
      </c>
      <c r="O581" t="s">
        <v>4032</v>
      </c>
      <c r="P581" t="s">
        <v>1341</v>
      </c>
      <c r="Q581" s="23">
        <v>46281.549319444443</v>
      </c>
      <c r="R581" s="32">
        <f>IF(OR(tbl_de_massas[[#This Row],[dia_vencimento]]="", tbl_de_massas[[#This Row],[dia_vencimento]]="--"), "", WORKDAY(tbl_de_massas[[#This Row],[dia_vencimento]], 5))</f>
        <v>13</v>
      </c>
    </row>
    <row r="582" spans="1:18" x14ac:dyDescent="0.25">
      <c r="A582" t="s">
        <v>4033</v>
      </c>
      <c r="B582" t="s">
        <v>4034</v>
      </c>
      <c r="C582" s="32" t="s">
        <v>2925</v>
      </c>
      <c r="D582" t="s">
        <v>4035</v>
      </c>
      <c r="E582" s="54">
        <v>10960.16</v>
      </c>
      <c r="F582" s="54">
        <v>4959.03</v>
      </c>
      <c r="G582" s="54">
        <v>7413.43</v>
      </c>
      <c r="H582" s="54">
        <v>3870.86</v>
      </c>
      <c r="I582" t="s">
        <v>2877</v>
      </c>
      <c r="J582" s="31">
        <v>4959.03</v>
      </c>
      <c r="K582" s="36" t="s">
        <v>2675</v>
      </c>
      <c r="L582" t="s">
        <v>2502</v>
      </c>
      <c r="M582" t="s">
        <v>4036</v>
      </c>
      <c r="N582" t="s">
        <v>1341</v>
      </c>
      <c r="O582" t="s">
        <v>67</v>
      </c>
      <c r="Q582" s="23">
        <v>46281.54932208333</v>
      </c>
      <c r="R582" s="32">
        <f>IF(OR(tbl_de_massas[[#This Row],[dia_vencimento]]="", tbl_de_massas[[#This Row],[dia_vencimento]]="--"), "", WORKDAY(tbl_de_massas[[#This Row],[dia_vencimento]], 5))</f>
        <v>24</v>
      </c>
    </row>
    <row r="583" spans="1:18" x14ac:dyDescent="0.25">
      <c r="A583" t="s">
        <v>4037</v>
      </c>
      <c r="B583" t="s">
        <v>4038</v>
      </c>
      <c r="C583" s="32" t="s">
        <v>2917</v>
      </c>
      <c r="D583" t="s">
        <v>4039</v>
      </c>
      <c r="E583" s="54">
        <v>10580.97</v>
      </c>
      <c r="F583" s="54">
        <v>4806.76</v>
      </c>
      <c r="G583" s="54">
        <v>3171.46</v>
      </c>
      <c r="H583" s="54">
        <v>3870.86</v>
      </c>
      <c r="I583" t="s">
        <v>2877</v>
      </c>
      <c r="J583" s="31">
        <v>4806.76</v>
      </c>
      <c r="K583" s="36" t="s">
        <v>2675</v>
      </c>
      <c r="L583" t="s">
        <v>2502</v>
      </c>
      <c r="M583" t="s">
        <v>4040</v>
      </c>
      <c r="N583" t="s">
        <v>1341</v>
      </c>
      <c r="O583" t="s">
        <v>67</v>
      </c>
      <c r="Q583" s="23">
        <v>46281.549324884261</v>
      </c>
      <c r="R583" s="32">
        <f>IF(OR(tbl_de_massas[[#This Row],[dia_vencimento]]="", tbl_de_massas[[#This Row],[dia_vencimento]]="--"), "", WORKDAY(tbl_de_massas[[#This Row],[dia_vencimento]], 5))</f>
        <v>27</v>
      </c>
    </row>
    <row r="584" spans="1:18" x14ac:dyDescent="0.25">
      <c r="A584" t="s">
        <v>4041</v>
      </c>
      <c r="B584" t="s">
        <v>4042</v>
      </c>
      <c r="C584" s="32" t="s">
        <v>5827</v>
      </c>
      <c r="D584" t="s">
        <v>4043</v>
      </c>
      <c r="E584" s="54">
        <v>7583.41</v>
      </c>
      <c r="F584" s="54">
        <v>4797.2</v>
      </c>
      <c r="G584" s="54">
        <v>1198.8</v>
      </c>
      <c r="H584" s="54">
        <v>3870.86</v>
      </c>
      <c r="I584" t="s">
        <v>2877</v>
      </c>
      <c r="J584" s="31">
        <v>4797.2</v>
      </c>
      <c r="K584" s="36" t="s">
        <v>2675</v>
      </c>
      <c r="L584" t="s">
        <v>2502</v>
      </c>
      <c r="M584" t="s">
        <v>4044</v>
      </c>
      <c r="N584" t="s">
        <v>1341</v>
      </c>
      <c r="O584" t="s">
        <v>4045</v>
      </c>
      <c r="P584" t="s">
        <v>1341</v>
      </c>
      <c r="Q584" s="23">
        <v>46281.549327569446</v>
      </c>
      <c r="R584" s="32">
        <f>IF(OR(tbl_de_massas[[#This Row],[dia_vencimento]]="", tbl_de_massas[[#This Row],[dia_vencimento]]="--"), "", WORKDAY(tbl_de_massas[[#This Row],[dia_vencimento]], 5))</f>
        <v>12</v>
      </c>
    </row>
    <row r="585" spans="1:18" x14ac:dyDescent="0.25">
      <c r="A585" t="s">
        <v>4046</v>
      </c>
      <c r="B585" t="s">
        <v>4047</v>
      </c>
      <c r="C585" s="32" t="s">
        <v>2924</v>
      </c>
      <c r="D585" t="s">
        <v>4048</v>
      </c>
      <c r="E585" s="54">
        <v>655.28</v>
      </c>
      <c r="F585" s="54">
        <v>5075.16</v>
      </c>
      <c r="G585" s="54">
        <v>9274.56</v>
      </c>
      <c r="H585" s="54">
        <v>3870.86</v>
      </c>
      <c r="I585" t="s">
        <v>2877</v>
      </c>
      <c r="J585" s="31">
        <v>5075.16</v>
      </c>
      <c r="K585" s="36" t="s">
        <v>2675</v>
      </c>
      <c r="L585" t="s">
        <v>2502</v>
      </c>
      <c r="M585" t="s">
        <v>4049</v>
      </c>
      <c r="N585" t="s">
        <v>1341</v>
      </c>
      <c r="O585" t="s">
        <v>67</v>
      </c>
      <c r="Q585" s="23">
        <v>46281.549330462964</v>
      </c>
      <c r="R585" s="32">
        <f>IF(OR(tbl_de_massas[[#This Row],[dia_vencimento]]="", tbl_de_massas[[#This Row],[dia_vencimento]]="--"), "", WORKDAY(tbl_de_massas[[#This Row],[dia_vencimento]], 5))</f>
        <v>26</v>
      </c>
    </row>
    <row r="586" spans="1:18" x14ac:dyDescent="0.25">
      <c r="A586" t="s">
        <v>4050</v>
      </c>
      <c r="B586" t="s">
        <v>4051</v>
      </c>
      <c r="C586" s="32" t="s">
        <v>2921</v>
      </c>
      <c r="D586" t="s">
        <v>4052</v>
      </c>
      <c r="E586" s="54">
        <v>13744.73</v>
      </c>
      <c r="F586" s="54">
        <v>4701.43</v>
      </c>
      <c r="G586" s="54">
        <v>-1310.58</v>
      </c>
      <c r="H586" s="54">
        <v>3870.86</v>
      </c>
      <c r="I586" t="s">
        <v>2877</v>
      </c>
      <c r="J586" s="31">
        <v>4701.43</v>
      </c>
      <c r="K586" s="36" t="s">
        <v>2675</v>
      </c>
      <c r="L586" t="s">
        <v>2502</v>
      </c>
      <c r="M586" t="s">
        <v>4053</v>
      </c>
      <c r="N586" t="s">
        <v>1341</v>
      </c>
      <c r="O586" t="s">
        <v>4054</v>
      </c>
      <c r="P586" t="s">
        <v>1341</v>
      </c>
      <c r="Q586" s="23">
        <v>46281.54933292824</v>
      </c>
      <c r="R586" s="32">
        <f>IF(OR(tbl_de_massas[[#This Row],[dia_vencimento]]="", tbl_de_massas[[#This Row],[dia_vencimento]]="--"), "", WORKDAY(tbl_de_massas[[#This Row],[dia_vencimento]], 5))</f>
        <v>13</v>
      </c>
    </row>
    <row r="587" spans="1:18" x14ac:dyDescent="0.25">
      <c r="A587" t="s">
        <v>4055</v>
      </c>
      <c r="B587" t="s">
        <v>4056</v>
      </c>
      <c r="C587" s="32" t="s">
        <v>5838</v>
      </c>
      <c r="D587" t="s">
        <v>4057</v>
      </c>
      <c r="E587" s="54">
        <v>12339.89</v>
      </c>
      <c r="F587" s="54">
        <v>906.26</v>
      </c>
      <c r="G587" s="54">
        <v>11242.97</v>
      </c>
      <c r="H587" s="54">
        <v>0</v>
      </c>
      <c r="I587" t="s">
        <v>2881</v>
      </c>
      <c r="J587" s="31">
        <v>906.26</v>
      </c>
      <c r="K587" s="36" t="s">
        <v>1306</v>
      </c>
      <c r="L587" t="s">
        <v>2504</v>
      </c>
      <c r="M587" t="s">
        <v>4058</v>
      </c>
      <c r="N587" t="s">
        <v>1341</v>
      </c>
      <c r="O587" t="s">
        <v>4059</v>
      </c>
      <c r="P587" t="s">
        <v>1341</v>
      </c>
      <c r="Q587" s="23">
        <v>46281.549335960648</v>
      </c>
      <c r="R587" s="32">
        <f>IF(OR(tbl_de_massas[[#This Row],[dia_vencimento]]="", tbl_de_massas[[#This Row],[dia_vencimento]]="--"), "", WORKDAY(tbl_de_massas[[#This Row],[dia_vencimento]], 5))</f>
        <v>11</v>
      </c>
    </row>
    <row r="588" spans="1:18" x14ac:dyDescent="0.25">
      <c r="A588" t="s">
        <v>4060</v>
      </c>
      <c r="B588" t="s">
        <v>4061</v>
      </c>
      <c r="C588" s="32" t="s">
        <v>2921</v>
      </c>
      <c r="D588" t="s">
        <v>4062</v>
      </c>
      <c r="E588" s="54">
        <v>9326.69</v>
      </c>
      <c r="F588" s="54">
        <v>804.16</v>
      </c>
      <c r="G588" s="54">
        <v>13957.75</v>
      </c>
      <c r="H588" s="54">
        <v>0</v>
      </c>
      <c r="I588" t="s">
        <v>2881</v>
      </c>
      <c r="J588" s="31">
        <v>804.16</v>
      </c>
      <c r="K588" s="36" t="s">
        <v>1306</v>
      </c>
      <c r="L588" t="s">
        <v>2504</v>
      </c>
      <c r="M588" t="s">
        <v>4063</v>
      </c>
      <c r="N588" t="s">
        <v>1341</v>
      </c>
      <c r="O588" t="s">
        <v>4064</v>
      </c>
      <c r="P588" t="s">
        <v>1341</v>
      </c>
      <c r="Q588" s="23">
        <v>46281.5493384375</v>
      </c>
      <c r="R588" s="32">
        <f>IF(OR(tbl_de_massas[[#This Row],[dia_vencimento]]="", tbl_de_massas[[#This Row],[dia_vencimento]]="--"), "", WORKDAY(tbl_de_massas[[#This Row],[dia_vencimento]], 5))</f>
        <v>13</v>
      </c>
    </row>
    <row r="589" spans="1:18" x14ac:dyDescent="0.25">
      <c r="A589" t="s">
        <v>4065</v>
      </c>
      <c r="B589" t="s">
        <v>4066</v>
      </c>
      <c r="C589" s="32" t="s">
        <v>608</v>
      </c>
      <c r="D589" t="s">
        <v>4067</v>
      </c>
      <c r="E589" s="54">
        <v>12639.1</v>
      </c>
      <c r="F589" s="54">
        <v>4732.75</v>
      </c>
      <c r="G589" s="54">
        <v>4493.99</v>
      </c>
      <c r="H589" s="54">
        <v>3870.86</v>
      </c>
      <c r="I589" t="s">
        <v>2877</v>
      </c>
      <c r="J589" s="31">
        <v>4732.75</v>
      </c>
      <c r="K589" s="36" t="s">
        <v>2675</v>
      </c>
      <c r="L589" t="s">
        <v>2502</v>
      </c>
      <c r="M589" t="s">
        <v>4068</v>
      </c>
      <c r="N589" t="s">
        <v>1341</v>
      </c>
      <c r="O589" t="s">
        <v>4069</v>
      </c>
      <c r="P589" t="s">
        <v>1341</v>
      </c>
      <c r="Q589" s="23">
        <v>46281.549340833335</v>
      </c>
      <c r="R589" s="32">
        <f>IF(OR(tbl_de_massas[[#This Row],[dia_vencimento]]="", tbl_de_massas[[#This Row],[dia_vencimento]]="--"), "", WORKDAY(tbl_de_massas[[#This Row],[dia_vencimento]], 5))</f>
        <v>27</v>
      </c>
    </row>
    <row r="590" spans="1:18" x14ac:dyDescent="0.25">
      <c r="A590" t="s">
        <v>4070</v>
      </c>
      <c r="B590" t="s">
        <v>4071</v>
      </c>
      <c r="C590" s="32" t="s">
        <v>2924</v>
      </c>
      <c r="D590" t="s">
        <v>4072</v>
      </c>
      <c r="E590" s="54">
        <v>10211.67</v>
      </c>
      <c r="F590" s="54">
        <v>5058.13</v>
      </c>
      <c r="G590" s="54">
        <v>2417.71</v>
      </c>
      <c r="H590" s="54">
        <v>3870.86</v>
      </c>
      <c r="I590" t="s">
        <v>2877</v>
      </c>
      <c r="J590" s="31">
        <v>5058.13</v>
      </c>
      <c r="K590" s="36" t="s">
        <v>2675</v>
      </c>
      <c r="L590" t="s">
        <v>2502</v>
      </c>
      <c r="M590" t="s">
        <v>4073</v>
      </c>
      <c r="N590" t="s">
        <v>1341</v>
      </c>
      <c r="O590" t="s">
        <v>4074</v>
      </c>
      <c r="P590" t="s">
        <v>1341</v>
      </c>
      <c r="Q590" s="23">
        <v>46281.549343576386</v>
      </c>
      <c r="R590" s="32">
        <f>IF(OR(tbl_de_massas[[#This Row],[dia_vencimento]]="", tbl_de_massas[[#This Row],[dia_vencimento]]="--"), "", WORKDAY(tbl_de_massas[[#This Row],[dia_vencimento]], 5))</f>
        <v>26</v>
      </c>
    </row>
    <row r="591" spans="1:18" x14ac:dyDescent="0.25">
      <c r="A591" t="s">
        <v>4075</v>
      </c>
      <c r="B591" t="s">
        <v>4076</v>
      </c>
      <c r="C591" s="32" t="s">
        <v>605</v>
      </c>
      <c r="D591" t="s">
        <v>4077</v>
      </c>
      <c r="E591" s="54">
        <v>7582.9</v>
      </c>
      <c r="F591" s="54">
        <v>626.08000000000004</v>
      </c>
      <c r="G591" s="54">
        <v>3003.15</v>
      </c>
      <c r="H591" s="54">
        <v>0</v>
      </c>
      <c r="I591" t="s">
        <v>2881</v>
      </c>
      <c r="J591" s="31">
        <v>626.08000000000004</v>
      </c>
      <c r="K591" s="36" t="s">
        <v>1306</v>
      </c>
      <c r="L591" t="s">
        <v>2504</v>
      </c>
      <c r="M591" t="s">
        <v>67</v>
      </c>
      <c r="O591" t="s">
        <v>4078</v>
      </c>
      <c r="P591" t="s">
        <v>1345</v>
      </c>
      <c r="Q591" s="23">
        <v>46281.549346481479</v>
      </c>
      <c r="R591" s="32">
        <f>IF(OR(tbl_de_massas[[#This Row],[dia_vencimento]]="", tbl_de_massas[[#This Row],[dia_vencimento]]="--"), "", WORKDAY(tbl_de_massas[[#This Row],[dia_vencimento]], 5))</f>
        <v>17</v>
      </c>
    </row>
    <row r="592" spans="1:18" x14ac:dyDescent="0.25">
      <c r="A592" t="s">
        <v>4079</v>
      </c>
      <c r="B592" t="s">
        <v>4080</v>
      </c>
      <c r="C592" s="32" t="s">
        <v>611</v>
      </c>
      <c r="D592" t="s">
        <v>4081</v>
      </c>
      <c r="E592" s="54">
        <v>4004.31</v>
      </c>
      <c r="F592" s="54">
        <v>0</v>
      </c>
      <c r="G592" s="54">
        <v>19046.52</v>
      </c>
      <c r="H592" s="54">
        <v>0</v>
      </c>
      <c r="I592" t="s">
        <v>2881</v>
      </c>
      <c r="J592" s="31">
        <v>940.05</v>
      </c>
      <c r="K592" s="36" t="s">
        <v>1306</v>
      </c>
      <c r="L592" t="s">
        <v>2504</v>
      </c>
      <c r="M592" t="s">
        <v>67</v>
      </c>
      <c r="O592" t="s">
        <v>4082</v>
      </c>
      <c r="P592" t="s">
        <v>1341</v>
      </c>
      <c r="Q592" s="23">
        <v>46281.549349212961</v>
      </c>
      <c r="R592" s="32">
        <f>IF(OR(tbl_de_massas[[#This Row],[dia_vencimento]]="", tbl_de_massas[[#This Row],[dia_vencimento]]="--"), "", WORKDAY(tbl_de_massas[[#This Row],[dia_vencimento]], 5))</f>
        <v>32</v>
      </c>
    </row>
    <row r="593" spans="1:18" x14ac:dyDescent="0.25">
      <c r="A593" t="s">
        <v>4083</v>
      </c>
      <c r="B593" t="s">
        <v>4084</v>
      </c>
      <c r="C593" s="32" t="s">
        <v>2346</v>
      </c>
      <c r="D593" t="s">
        <v>4085</v>
      </c>
      <c r="E593" s="54">
        <v>13273.77</v>
      </c>
      <c r="F593" s="54">
        <v>4898.95</v>
      </c>
      <c r="G593" s="54">
        <v>7815.88</v>
      </c>
      <c r="H593" s="54">
        <v>3870.86</v>
      </c>
      <c r="I593" t="s">
        <v>2877</v>
      </c>
      <c r="J593" s="31">
        <v>4898.95</v>
      </c>
      <c r="K593" s="36" t="s">
        <v>2675</v>
      </c>
      <c r="L593" t="s">
        <v>2502</v>
      </c>
      <c r="M593" t="s">
        <v>4086</v>
      </c>
      <c r="N593" t="s">
        <v>1345</v>
      </c>
      <c r="O593" t="s">
        <v>4087</v>
      </c>
      <c r="P593" t="s">
        <v>1345</v>
      </c>
      <c r="Q593" s="23">
        <v>46281.549351643516</v>
      </c>
      <c r="R593" s="32">
        <f>IF(OR(tbl_de_massas[[#This Row],[dia_vencimento]]="", tbl_de_massas[[#This Row],[dia_vencimento]]="--"), "", WORKDAY(tbl_de_massas[[#This Row],[dia_vencimento]], 5))</f>
        <v>18</v>
      </c>
    </row>
    <row r="594" spans="1:18" x14ac:dyDescent="0.25">
      <c r="A594" t="s">
        <v>4088</v>
      </c>
      <c r="B594" t="s">
        <v>4089</v>
      </c>
      <c r="C594" s="32" t="s">
        <v>2918</v>
      </c>
      <c r="D594" t="s">
        <v>4090</v>
      </c>
      <c r="E594" s="54">
        <v>8042.97</v>
      </c>
      <c r="F594" s="54">
        <v>0</v>
      </c>
      <c r="G594" s="54">
        <v>18659.75</v>
      </c>
      <c r="H594" s="54">
        <v>0</v>
      </c>
      <c r="I594" t="s">
        <v>2881</v>
      </c>
      <c r="J594" s="31">
        <v>690.91</v>
      </c>
      <c r="K594" s="36" t="s">
        <v>1306</v>
      </c>
      <c r="L594" t="s">
        <v>2504</v>
      </c>
      <c r="M594" t="s">
        <v>4091</v>
      </c>
      <c r="N594" t="s">
        <v>1341</v>
      </c>
      <c r="O594" t="s">
        <v>4092</v>
      </c>
      <c r="P594" t="s">
        <v>1341</v>
      </c>
      <c r="Q594" s="23">
        <v>46281.549354849536</v>
      </c>
      <c r="R594" s="32">
        <f>IF(OR(tbl_de_massas[[#This Row],[dia_vencimento]]="", tbl_de_massas[[#This Row],[dia_vencimento]]="--"), "", WORKDAY(tbl_de_massas[[#This Row],[dia_vencimento]], 5))</f>
        <v>34</v>
      </c>
    </row>
    <row r="595" spans="1:18" x14ac:dyDescent="0.25">
      <c r="A595" t="s">
        <v>4093</v>
      </c>
      <c r="B595" t="s">
        <v>4094</v>
      </c>
      <c r="C595" s="32" t="s">
        <v>611</v>
      </c>
      <c r="D595" t="s">
        <v>4095</v>
      </c>
      <c r="E595" s="54">
        <v>7051.49</v>
      </c>
      <c r="F595" s="54">
        <v>0</v>
      </c>
      <c r="G595" s="54">
        <v>21651.24</v>
      </c>
      <c r="H595" s="54">
        <v>0</v>
      </c>
      <c r="I595" t="s">
        <v>2881</v>
      </c>
      <c r="J595" s="31">
        <v>741.72</v>
      </c>
      <c r="K595" s="36" t="s">
        <v>1306</v>
      </c>
      <c r="L595" t="s">
        <v>2504</v>
      </c>
      <c r="M595" t="s">
        <v>4096</v>
      </c>
      <c r="N595" t="s">
        <v>1341</v>
      </c>
      <c r="O595" t="s">
        <v>4097</v>
      </c>
      <c r="P595" t="s">
        <v>1341</v>
      </c>
      <c r="Q595" s="23">
        <v>46281.549357141201</v>
      </c>
      <c r="R595" s="32">
        <f>IF(OR(tbl_de_massas[[#This Row],[dia_vencimento]]="", tbl_de_massas[[#This Row],[dia_vencimento]]="--"), "", WORKDAY(tbl_de_massas[[#This Row],[dia_vencimento]], 5))</f>
        <v>32</v>
      </c>
    </row>
    <row r="596" spans="1:18" x14ac:dyDescent="0.25">
      <c r="A596" t="s">
        <v>4098</v>
      </c>
      <c r="B596" t="s">
        <v>4099</v>
      </c>
      <c r="C596" s="32" t="s">
        <v>5830</v>
      </c>
      <c r="D596" t="s">
        <v>4100</v>
      </c>
      <c r="E596" s="54">
        <v>9101.66</v>
      </c>
      <c r="F596" s="54">
        <v>660.91</v>
      </c>
      <c r="G596" s="54">
        <v>17737.63</v>
      </c>
      <c r="H596" s="54">
        <v>0</v>
      </c>
      <c r="I596" t="s">
        <v>2881</v>
      </c>
      <c r="J596" s="31">
        <v>660.91</v>
      </c>
      <c r="K596" s="36" t="s">
        <v>1306</v>
      </c>
      <c r="L596" t="s">
        <v>2504</v>
      </c>
      <c r="M596" t="s">
        <v>4101</v>
      </c>
      <c r="N596" t="s">
        <v>1341</v>
      </c>
      <c r="O596" t="s">
        <v>4102</v>
      </c>
      <c r="P596" t="s">
        <v>1341</v>
      </c>
      <c r="Q596" s="23">
        <v>46281.549359942132</v>
      </c>
      <c r="R596" s="32">
        <f>IF(OR(tbl_de_massas[[#This Row],[dia_vencimento]]="", tbl_de_massas[[#This Row],[dia_vencimento]]="--"), "", WORKDAY(tbl_de_massas[[#This Row],[dia_vencimento]], 5))</f>
        <v>13</v>
      </c>
    </row>
    <row r="597" spans="1:18" x14ac:dyDescent="0.25">
      <c r="A597" t="s">
        <v>4103</v>
      </c>
      <c r="B597" t="s">
        <v>4104</v>
      </c>
      <c r="C597" s="32" t="s">
        <v>2921</v>
      </c>
      <c r="D597" t="s">
        <v>4105</v>
      </c>
      <c r="E597" s="54">
        <v>7962.56</v>
      </c>
      <c r="F597" s="54">
        <v>4690.26</v>
      </c>
      <c r="G597" s="54">
        <v>12580.64</v>
      </c>
      <c r="H597" s="54">
        <v>3870.86</v>
      </c>
      <c r="I597" t="s">
        <v>2877</v>
      </c>
      <c r="J597" s="31">
        <v>4690.26</v>
      </c>
      <c r="K597" s="36" t="s">
        <v>2675</v>
      </c>
      <c r="L597" t="s">
        <v>2502</v>
      </c>
      <c r="M597" t="s">
        <v>67</v>
      </c>
      <c r="O597" t="s">
        <v>4106</v>
      </c>
      <c r="P597" t="s">
        <v>1341</v>
      </c>
      <c r="Q597" s="23">
        <v>46281.549362430553</v>
      </c>
      <c r="R597" s="32">
        <f>IF(OR(tbl_de_massas[[#This Row],[dia_vencimento]]="", tbl_de_massas[[#This Row],[dia_vencimento]]="--"), "", WORKDAY(tbl_de_massas[[#This Row],[dia_vencimento]], 5))</f>
        <v>13</v>
      </c>
    </row>
    <row r="598" spans="1:18" x14ac:dyDescent="0.25">
      <c r="A598" t="s">
        <v>4107</v>
      </c>
      <c r="B598" t="s">
        <v>4108</v>
      </c>
      <c r="C598" s="32" t="s">
        <v>607</v>
      </c>
      <c r="D598" t="s">
        <v>4109</v>
      </c>
      <c r="E598" s="54">
        <v>5374.55</v>
      </c>
      <c r="F598" s="54">
        <v>635.72</v>
      </c>
      <c r="G598" s="54">
        <v>13620.23</v>
      </c>
      <c r="H598" s="54">
        <v>0</v>
      </c>
      <c r="I598" t="s">
        <v>2881</v>
      </c>
      <c r="J598" s="31">
        <v>635.72</v>
      </c>
      <c r="K598" s="36" t="s">
        <v>1306</v>
      </c>
      <c r="L598" t="s">
        <v>2504</v>
      </c>
      <c r="M598" t="s">
        <v>4110</v>
      </c>
      <c r="N598" t="s">
        <v>1341</v>
      </c>
      <c r="O598" t="s">
        <v>67</v>
      </c>
      <c r="Q598" s="23">
        <v>46281.549365370367</v>
      </c>
      <c r="R598" s="32">
        <f>IF(OR(tbl_de_massas[[#This Row],[dia_vencimento]]="", tbl_de_massas[[#This Row],[dia_vencimento]]="--"), "", WORKDAY(tbl_de_massas[[#This Row],[dia_vencimento]], 5))</f>
        <v>20</v>
      </c>
    </row>
    <row r="599" spans="1:18" x14ac:dyDescent="0.25">
      <c r="A599" t="s">
        <v>4111</v>
      </c>
      <c r="B599" t="s">
        <v>4112</v>
      </c>
      <c r="C599" s="32" t="s">
        <v>5828</v>
      </c>
      <c r="D599" t="s">
        <v>4113</v>
      </c>
      <c r="E599" s="54">
        <v>5980.24</v>
      </c>
      <c r="F599" s="54">
        <v>4989.47</v>
      </c>
      <c r="G599" s="54">
        <v>12670.78</v>
      </c>
      <c r="H599" s="54">
        <v>3870.86</v>
      </c>
      <c r="I599" t="s">
        <v>2877</v>
      </c>
      <c r="J599" s="31">
        <v>4989.47</v>
      </c>
      <c r="K599" s="36" t="s">
        <v>2675</v>
      </c>
      <c r="L599" t="s">
        <v>2502</v>
      </c>
      <c r="M599" t="s">
        <v>4114</v>
      </c>
      <c r="N599" t="s">
        <v>1341</v>
      </c>
      <c r="O599" t="s">
        <v>67</v>
      </c>
      <c r="Q599" s="23">
        <v>46281.549367685184</v>
      </c>
      <c r="R599" s="32">
        <f>IF(OR(tbl_de_massas[[#This Row],[dia_vencimento]]="", tbl_de_massas[[#This Row],[dia_vencimento]]="--"), "", WORKDAY(tbl_de_massas[[#This Row],[dia_vencimento]], 5))</f>
        <v>33</v>
      </c>
    </row>
    <row r="600" spans="1:18" x14ac:dyDescent="0.25">
      <c r="A600" t="s">
        <v>4115</v>
      </c>
      <c r="B600" t="s">
        <v>4116</v>
      </c>
      <c r="C600" s="32" t="s">
        <v>5837</v>
      </c>
      <c r="D600" t="s">
        <v>4117</v>
      </c>
      <c r="E600" s="54">
        <v>1184.98</v>
      </c>
      <c r="F600" s="54">
        <v>878.3</v>
      </c>
      <c r="G600" s="54">
        <v>2101.65</v>
      </c>
      <c r="H600" s="54">
        <v>0</v>
      </c>
      <c r="I600" t="s">
        <v>2881</v>
      </c>
      <c r="J600" s="31">
        <v>878.3</v>
      </c>
      <c r="K600" s="36" t="s">
        <v>1306</v>
      </c>
      <c r="L600" t="s">
        <v>2504</v>
      </c>
      <c r="M600" t="s">
        <v>4118</v>
      </c>
      <c r="N600" t="s">
        <v>1345</v>
      </c>
      <c r="O600" t="s">
        <v>67</v>
      </c>
      <c r="Q600" s="23">
        <v>46281.549370289351</v>
      </c>
      <c r="R600" s="32">
        <f>IF(OR(tbl_de_massas[[#This Row],[dia_vencimento]]="", tbl_de_massas[[#This Row],[dia_vencimento]]="--"), "", WORKDAY(tbl_de_massas[[#This Row],[dia_vencimento]], 5))</f>
        <v>9</v>
      </c>
    </row>
    <row r="601" spans="1:18" x14ac:dyDescent="0.25">
      <c r="A601" t="s">
        <v>4119</v>
      </c>
      <c r="B601" t="s">
        <v>4120</v>
      </c>
      <c r="C601" s="32" t="s">
        <v>2346</v>
      </c>
      <c r="D601" t="s">
        <v>4121</v>
      </c>
      <c r="E601" s="54">
        <v>1013.5</v>
      </c>
      <c r="F601" s="54">
        <v>4688.53</v>
      </c>
      <c r="G601" s="54">
        <v>3502.84</v>
      </c>
      <c r="H601" s="54">
        <v>3870.86</v>
      </c>
      <c r="I601" t="s">
        <v>2877</v>
      </c>
      <c r="J601" s="31">
        <v>4688.53</v>
      </c>
      <c r="K601" s="36" t="s">
        <v>2675</v>
      </c>
      <c r="L601" t="s">
        <v>2502</v>
      </c>
      <c r="M601" t="s">
        <v>4122</v>
      </c>
      <c r="N601" t="s">
        <v>1345</v>
      </c>
      <c r="O601" t="s">
        <v>4123</v>
      </c>
      <c r="P601" t="s">
        <v>1345</v>
      </c>
      <c r="Q601" s="23">
        <v>46281.549372581016</v>
      </c>
      <c r="R601" s="32">
        <f>IF(OR(tbl_de_massas[[#This Row],[dia_vencimento]]="", tbl_de_massas[[#This Row],[dia_vencimento]]="--"), "", WORKDAY(tbl_de_massas[[#This Row],[dia_vencimento]], 5))</f>
        <v>18</v>
      </c>
    </row>
    <row r="602" spans="1:18" x14ac:dyDescent="0.25">
      <c r="A602" t="s">
        <v>4124</v>
      </c>
      <c r="B602" t="s">
        <v>4125</v>
      </c>
      <c r="C602" s="32" t="s">
        <v>2918</v>
      </c>
      <c r="D602" t="s">
        <v>4126</v>
      </c>
      <c r="E602" s="54">
        <v>4655.47</v>
      </c>
      <c r="F602" s="54">
        <v>4755.83</v>
      </c>
      <c r="G602" s="54">
        <v>15946.83</v>
      </c>
      <c r="H602" s="54">
        <v>3870.86</v>
      </c>
      <c r="I602" t="s">
        <v>2877</v>
      </c>
      <c r="J602" s="31">
        <v>4755.83</v>
      </c>
      <c r="K602" s="36" t="s">
        <v>2675</v>
      </c>
      <c r="L602" t="s">
        <v>2502</v>
      </c>
      <c r="M602" t="s">
        <v>4127</v>
      </c>
      <c r="N602" t="s">
        <v>1341</v>
      </c>
      <c r="O602" t="s">
        <v>4128</v>
      </c>
      <c r="P602" t="s">
        <v>1341</v>
      </c>
      <c r="Q602" s="23">
        <v>46281.549795150466</v>
      </c>
      <c r="R602" s="32">
        <f>IF(OR(tbl_de_massas[[#This Row],[dia_vencimento]]="", tbl_de_massas[[#This Row],[dia_vencimento]]="--"), "", WORKDAY(tbl_de_massas[[#This Row],[dia_vencimento]], 5))</f>
        <v>34</v>
      </c>
    </row>
    <row r="603" spans="1:18" x14ac:dyDescent="0.25">
      <c r="A603" t="s">
        <v>4129</v>
      </c>
      <c r="B603" t="s">
        <v>4130</v>
      </c>
      <c r="C603" s="32" t="s">
        <v>611</v>
      </c>
      <c r="D603" t="s">
        <v>4131</v>
      </c>
      <c r="E603" s="54">
        <v>10690.66</v>
      </c>
      <c r="F603" s="54">
        <v>0</v>
      </c>
      <c r="G603" s="54">
        <v>11719.22</v>
      </c>
      <c r="H603" s="54">
        <v>0</v>
      </c>
      <c r="I603" t="s">
        <v>2881</v>
      </c>
      <c r="J603" s="31">
        <v>666.58</v>
      </c>
      <c r="K603" s="36" t="s">
        <v>1306</v>
      </c>
      <c r="L603" t="s">
        <v>2504</v>
      </c>
      <c r="M603" t="s">
        <v>67</v>
      </c>
      <c r="O603" t="s">
        <v>4132</v>
      </c>
      <c r="P603" t="s">
        <v>1341</v>
      </c>
      <c r="Q603" s="23">
        <v>46281.549797754633</v>
      </c>
      <c r="R603" s="32">
        <f>IF(OR(tbl_de_massas[[#This Row],[dia_vencimento]]="", tbl_de_massas[[#This Row],[dia_vencimento]]="--"), "", WORKDAY(tbl_de_massas[[#This Row],[dia_vencimento]], 5))</f>
        <v>32</v>
      </c>
    </row>
    <row r="604" spans="1:18" x14ac:dyDescent="0.25">
      <c r="A604" t="s">
        <v>4133</v>
      </c>
      <c r="B604" t="s">
        <v>4134</v>
      </c>
      <c r="C604" s="32" t="s">
        <v>2360</v>
      </c>
      <c r="D604" t="s">
        <v>4135</v>
      </c>
      <c r="E604" s="54">
        <v>1036.69</v>
      </c>
      <c r="F604" s="54">
        <v>464.68</v>
      </c>
      <c r="G604" s="54">
        <v>14511.94</v>
      </c>
      <c r="H604" s="54">
        <v>0</v>
      </c>
      <c r="I604" t="s">
        <v>2881</v>
      </c>
      <c r="J604" s="31">
        <v>464.68</v>
      </c>
      <c r="K604" s="36" t="s">
        <v>1306</v>
      </c>
      <c r="L604" t="s">
        <v>2504</v>
      </c>
      <c r="M604" t="s">
        <v>67</v>
      </c>
      <c r="O604" t="s">
        <v>4136</v>
      </c>
      <c r="P604" t="s">
        <v>1345</v>
      </c>
      <c r="Q604" s="23">
        <v>46281.549799918983</v>
      </c>
      <c r="R604" s="32">
        <f>IF(OR(tbl_de_massas[[#This Row],[dia_vencimento]]="", tbl_de_massas[[#This Row],[dia_vencimento]]="--"), "", WORKDAY(tbl_de_massas[[#This Row],[dia_vencimento]], 5))</f>
        <v>19</v>
      </c>
    </row>
    <row r="605" spans="1:18" x14ac:dyDescent="0.25">
      <c r="A605" t="s">
        <v>4137</v>
      </c>
      <c r="B605" t="s">
        <v>4138</v>
      </c>
      <c r="C605" s="32" t="s">
        <v>5829</v>
      </c>
      <c r="D605" t="s">
        <v>4139</v>
      </c>
      <c r="E605" s="54">
        <v>9928.0400000000009</v>
      </c>
      <c r="F605" s="54">
        <v>4855.6400000000003</v>
      </c>
      <c r="G605" s="54">
        <v>74.56</v>
      </c>
      <c r="H605" s="54">
        <v>3870.86</v>
      </c>
      <c r="I605" t="s">
        <v>2877</v>
      </c>
      <c r="J605" s="31">
        <v>4855.6400000000003</v>
      </c>
      <c r="K605" s="36" t="s">
        <v>2675</v>
      </c>
      <c r="L605" t="s">
        <v>2502</v>
      </c>
      <c r="M605" t="s">
        <v>4140</v>
      </c>
      <c r="N605" t="s">
        <v>1341</v>
      </c>
      <c r="O605" t="s">
        <v>67</v>
      </c>
      <c r="Q605" s="23">
        <v>46281.549801921297</v>
      </c>
      <c r="R605" s="32">
        <f>IF(OR(tbl_de_massas[[#This Row],[dia_vencimento]]="", tbl_de_massas[[#This Row],[dia_vencimento]]="--"), "", WORKDAY(tbl_de_massas[[#This Row],[dia_vencimento]], 5))</f>
        <v>30</v>
      </c>
    </row>
    <row r="606" spans="1:18" x14ac:dyDescent="0.25">
      <c r="A606" t="s">
        <v>4141</v>
      </c>
      <c r="B606" t="s">
        <v>4142</v>
      </c>
      <c r="C606" s="32" t="s">
        <v>607</v>
      </c>
      <c r="D606" t="s">
        <v>4143</v>
      </c>
      <c r="E606" s="54">
        <v>11483.39</v>
      </c>
      <c r="F606" s="54">
        <v>4830.83</v>
      </c>
      <c r="G606" s="54">
        <v>16799.13</v>
      </c>
      <c r="H606" s="54">
        <v>3870.86</v>
      </c>
      <c r="I606" t="s">
        <v>2877</v>
      </c>
      <c r="J606" s="31">
        <v>4830.83</v>
      </c>
      <c r="K606" s="36" t="s">
        <v>2675</v>
      </c>
      <c r="L606" t="s">
        <v>2502</v>
      </c>
      <c r="M606" t="s">
        <v>4144</v>
      </c>
      <c r="N606" t="s">
        <v>1341</v>
      </c>
      <c r="O606" t="s">
        <v>4145</v>
      </c>
      <c r="P606" t="s">
        <v>1341</v>
      </c>
      <c r="Q606" s="23">
        <v>46281.549804548609</v>
      </c>
      <c r="R606" s="32">
        <f>IF(OR(tbl_de_massas[[#This Row],[dia_vencimento]]="", tbl_de_massas[[#This Row],[dia_vencimento]]="--"), "", WORKDAY(tbl_de_massas[[#This Row],[dia_vencimento]], 5))</f>
        <v>20</v>
      </c>
    </row>
    <row r="607" spans="1:18" x14ac:dyDescent="0.25">
      <c r="A607" t="s">
        <v>4146</v>
      </c>
      <c r="B607" t="s">
        <v>4147</v>
      </c>
      <c r="C607" s="32" t="s">
        <v>5837</v>
      </c>
      <c r="D607" t="s">
        <v>4148</v>
      </c>
      <c r="E607" s="54">
        <v>14135.44</v>
      </c>
      <c r="F607" s="54">
        <v>4855.3900000000003</v>
      </c>
      <c r="G607" s="54">
        <v>3265.25</v>
      </c>
      <c r="H607" s="54">
        <v>3870.86</v>
      </c>
      <c r="I607" t="s">
        <v>2877</v>
      </c>
      <c r="J607" s="31">
        <v>4855.3900000000003</v>
      </c>
      <c r="K607" s="36" t="s">
        <v>2675</v>
      </c>
      <c r="L607" t="s">
        <v>2502</v>
      </c>
      <c r="M607" t="s">
        <v>4149</v>
      </c>
      <c r="N607" t="s">
        <v>1341</v>
      </c>
      <c r="O607" t="s">
        <v>4150</v>
      </c>
      <c r="P607" t="s">
        <v>1341</v>
      </c>
      <c r="Q607" s="23">
        <v>46281.549806840281</v>
      </c>
      <c r="R607" s="32">
        <f>IF(OR(tbl_de_massas[[#This Row],[dia_vencimento]]="", tbl_de_massas[[#This Row],[dia_vencimento]]="--"), "", WORKDAY(tbl_de_massas[[#This Row],[dia_vencimento]], 5))</f>
        <v>9</v>
      </c>
    </row>
    <row r="608" spans="1:18" x14ac:dyDescent="0.25">
      <c r="A608" t="s">
        <v>4151</v>
      </c>
      <c r="B608" t="s">
        <v>4152</v>
      </c>
      <c r="C608" s="32" t="s">
        <v>611</v>
      </c>
      <c r="D608" t="s">
        <v>4153</v>
      </c>
      <c r="E608" s="54">
        <v>11312.31</v>
      </c>
      <c r="F608" s="54">
        <v>0</v>
      </c>
      <c r="G608" s="54">
        <v>7961.17</v>
      </c>
      <c r="H608" s="54">
        <v>0</v>
      </c>
      <c r="I608" t="s">
        <v>2881</v>
      </c>
      <c r="J608" s="31">
        <v>574.17999999999995</v>
      </c>
      <c r="K608" s="36" t="s">
        <v>1306</v>
      </c>
      <c r="L608" t="s">
        <v>2504</v>
      </c>
      <c r="M608" t="s">
        <v>67</v>
      </c>
      <c r="O608" t="s">
        <v>4154</v>
      </c>
      <c r="P608" t="s">
        <v>1341</v>
      </c>
      <c r="Q608" s="23">
        <v>46281.54980940972</v>
      </c>
      <c r="R608" s="32">
        <f>IF(OR(tbl_de_massas[[#This Row],[dia_vencimento]]="", tbl_de_massas[[#This Row],[dia_vencimento]]="--"), "", WORKDAY(tbl_de_massas[[#This Row],[dia_vencimento]], 5))</f>
        <v>32</v>
      </c>
    </row>
    <row r="609" spans="1:18" x14ac:dyDescent="0.25">
      <c r="A609" t="s">
        <v>4155</v>
      </c>
      <c r="B609" t="s">
        <v>4156</v>
      </c>
      <c r="C609" s="32" t="s">
        <v>2917</v>
      </c>
      <c r="D609" t="s">
        <v>4157</v>
      </c>
      <c r="E609" s="54">
        <v>10337.030000000001</v>
      </c>
      <c r="F609" s="54">
        <v>0</v>
      </c>
      <c r="G609" s="54">
        <v>15415.56</v>
      </c>
      <c r="H609" s="54">
        <v>0</v>
      </c>
      <c r="I609" t="s">
        <v>2881</v>
      </c>
      <c r="J609" s="31">
        <v>609.37</v>
      </c>
      <c r="K609" s="36" t="s">
        <v>1306</v>
      </c>
      <c r="L609" t="s">
        <v>2504</v>
      </c>
      <c r="M609" t="s">
        <v>67</v>
      </c>
      <c r="O609" t="s">
        <v>4158</v>
      </c>
      <c r="P609" t="s">
        <v>1341</v>
      </c>
      <c r="Q609" s="23">
        <v>46281.54981222222</v>
      </c>
      <c r="R609" s="32">
        <f>IF(OR(tbl_de_massas[[#This Row],[dia_vencimento]]="", tbl_de_massas[[#This Row],[dia_vencimento]]="--"), "", WORKDAY(tbl_de_massas[[#This Row],[dia_vencimento]], 5))</f>
        <v>27</v>
      </c>
    </row>
    <row r="610" spans="1:18" x14ac:dyDescent="0.25">
      <c r="A610" t="s">
        <v>4159</v>
      </c>
      <c r="B610" t="s">
        <v>4160</v>
      </c>
      <c r="C610" s="32" t="s">
        <v>605</v>
      </c>
      <c r="D610" t="s">
        <v>4161</v>
      </c>
      <c r="E610" s="54">
        <v>13400.37</v>
      </c>
      <c r="F610" s="54">
        <v>4631.33</v>
      </c>
      <c r="G610" s="54">
        <v>9261.69</v>
      </c>
      <c r="H610" s="54">
        <v>3870.86</v>
      </c>
      <c r="I610" t="s">
        <v>2877</v>
      </c>
      <c r="J610" s="31">
        <v>4631.33</v>
      </c>
      <c r="K610" s="36" t="s">
        <v>2675</v>
      </c>
      <c r="L610" t="s">
        <v>2502</v>
      </c>
      <c r="M610" t="s">
        <v>4162</v>
      </c>
      <c r="N610" t="s">
        <v>1341</v>
      </c>
      <c r="O610" t="s">
        <v>4163</v>
      </c>
      <c r="P610" t="s">
        <v>1341</v>
      </c>
      <c r="Q610" s="23">
        <v>46281.549814988422</v>
      </c>
      <c r="R610" s="32">
        <f>IF(OR(tbl_de_massas[[#This Row],[dia_vencimento]]="", tbl_de_massas[[#This Row],[dia_vencimento]]="--"), "", WORKDAY(tbl_de_massas[[#This Row],[dia_vencimento]], 5))</f>
        <v>17</v>
      </c>
    </row>
    <row r="611" spans="1:18" x14ac:dyDescent="0.25">
      <c r="A611" t="s">
        <v>4164</v>
      </c>
      <c r="B611" t="s">
        <v>4165</v>
      </c>
      <c r="C611" s="32" t="s">
        <v>2360</v>
      </c>
      <c r="D611" t="s">
        <v>479</v>
      </c>
      <c r="E611" s="54">
        <v>10842.18</v>
      </c>
      <c r="F611" s="54">
        <v>411.72</v>
      </c>
      <c r="G611" s="54">
        <v>3204.26</v>
      </c>
      <c r="H611" s="54">
        <v>0</v>
      </c>
      <c r="I611" t="s">
        <v>2881</v>
      </c>
      <c r="J611" s="31">
        <v>411.72</v>
      </c>
      <c r="K611" s="36" t="s">
        <v>1306</v>
      </c>
      <c r="L611" t="s">
        <v>2504</v>
      </c>
      <c r="M611" t="s">
        <v>67</v>
      </c>
      <c r="O611" t="s">
        <v>4166</v>
      </c>
      <c r="P611" t="s">
        <v>1341</v>
      </c>
      <c r="Q611" s="23">
        <v>46281.549818611114</v>
      </c>
      <c r="R611" s="32">
        <f>IF(OR(tbl_de_massas[[#This Row],[dia_vencimento]]="", tbl_de_massas[[#This Row],[dia_vencimento]]="--"), "", WORKDAY(tbl_de_massas[[#This Row],[dia_vencimento]], 5))</f>
        <v>19</v>
      </c>
    </row>
    <row r="612" spans="1:18" x14ac:dyDescent="0.25">
      <c r="A612" t="s">
        <v>4167</v>
      </c>
      <c r="B612" t="s">
        <v>4168</v>
      </c>
      <c r="C612" s="32" t="s">
        <v>5836</v>
      </c>
      <c r="D612" t="s">
        <v>4169</v>
      </c>
      <c r="E612" s="54">
        <v>10042.64</v>
      </c>
      <c r="F612" s="54">
        <v>4929.6499999999996</v>
      </c>
      <c r="G612" s="54">
        <v>12014.57</v>
      </c>
      <c r="H612" s="54">
        <v>3870.86</v>
      </c>
      <c r="I612" t="s">
        <v>2877</v>
      </c>
      <c r="J612" s="31">
        <v>4929.6499999999996</v>
      </c>
      <c r="K612" s="36" t="s">
        <v>2675</v>
      </c>
      <c r="L612" t="s">
        <v>2502</v>
      </c>
      <c r="M612" t="s">
        <v>67</v>
      </c>
      <c r="O612" t="s">
        <v>4170</v>
      </c>
      <c r="P612" t="s">
        <v>1341</v>
      </c>
      <c r="Q612" s="23">
        <v>46281.549821273147</v>
      </c>
      <c r="R612" s="32">
        <f>IF(OR(tbl_de_massas[[#This Row],[dia_vencimento]]="", tbl_de_massas[[#This Row],[dia_vencimento]]="--"), "", WORKDAY(tbl_de_massas[[#This Row],[dia_vencimento]], 5))</f>
        <v>34</v>
      </c>
    </row>
    <row r="613" spans="1:18" x14ac:dyDescent="0.25">
      <c r="A613" t="s">
        <v>4171</v>
      </c>
      <c r="B613" t="s">
        <v>4172</v>
      </c>
      <c r="C613" s="32" t="s">
        <v>2675</v>
      </c>
      <c r="D613" t="s">
        <v>4173</v>
      </c>
      <c r="E613" s="54">
        <v>12873.47</v>
      </c>
      <c r="F613" s="54">
        <v>5051.24</v>
      </c>
      <c r="G613" s="54">
        <v>3765.79</v>
      </c>
      <c r="H613" s="54">
        <v>3870.86</v>
      </c>
      <c r="I613" t="s">
        <v>2877</v>
      </c>
      <c r="J613" s="31">
        <v>5051.24</v>
      </c>
      <c r="K613" s="36" t="s">
        <v>2675</v>
      </c>
      <c r="L613" t="s">
        <v>2502</v>
      </c>
      <c r="M613" t="s">
        <v>4174</v>
      </c>
      <c r="N613" t="s">
        <v>1341</v>
      </c>
      <c r="O613" t="s">
        <v>4175</v>
      </c>
      <c r="P613" t="s">
        <v>1341</v>
      </c>
      <c r="Q613" s="23">
        <v>46281.549824641203</v>
      </c>
      <c r="R613" s="32">
        <f>IF(OR(tbl_de_massas[[#This Row],[dia_vencimento]]="", tbl_de_massas[[#This Row],[dia_vencimento]]="--"), "", WORKDAY(tbl_de_massas[[#This Row],[dia_vencimento]], 5))</f>
        <v>23</v>
      </c>
    </row>
    <row r="614" spans="1:18" x14ac:dyDescent="0.25">
      <c r="A614" t="s">
        <v>4176</v>
      </c>
      <c r="B614" t="s">
        <v>4177</v>
      </c>
      <c r="C614" s="32" t="s">
        <v>5829</v>
      </c>
      <c r="D614" t="s">
        <v>4178</v>
      </c>
      <c r="E614" s="54">
        <v>9992.27</v>
      </c>
      <c r="F614" s="54">
        <v>4608.03</v>
      </c>
      <c r="G614" s="54">
        <v>2533.16</v>
      </c>
      <c r="H614" s="54">
        <v>3870.86</v>
      </c>
      <c r="I614" t="s">
        <v>2877</v>
      </c>
      <c r="J614" s="31">
        <v>4608.03</v>
      </c>
      <c r="K614" s="36" t="s">
        <v>2675</v>
      </c>
      <c r="L614" t="s">
        <v>2502</v>
      </c>
      <c r="M614" t="s">
        <v>67</v>
      </c>
      <c r="O614" t="s">
        <v>4179</v>
      </c>
      <c r="P614" t="s">
        <v>1341</v>
      </c>
      <c r="Q614" s="23">
        <v>46281.549828009258</v>
      </c>
      <c r="R614" s="32">
        <f>IF(OR(tbl_de_massas[[#This Row],[dia_vencimento]]="", tbl_de_massas[[#This Row],[dia_vencimento]]="--"), "", WORKDAY(tbl_de_massas[[#This Row],[dia_vencimento]], 5))</f>
        <v>30</v>
      </c>
    </row>
    <row r="615" spans="1:18" x14ac:dyDescent="0.25">
      <c r="A615" t="s">
        <v>4180</v>
      </c>
      <c r="B615" t="s">
        <v>4181</v>
      </c>
      <c r="C615" s="32" t="s">
        <v>5838</v>
      </c>
      <c r="D615" t="s">
        <v>4182</v>
      </c>
      <c r="E615" s="54">
        <v>4992.45</v>
      </c>
      <c r="F615" s="54">
        <v>548.57000000000005</v>
      </c>
      <c r="G615" s="54">
        <v>14267.43</v>
      </c>
      <c r="H615" s="54">
        <v>0</v>
      </c>
      <c r="I615" t="s">
        <v>2881</v>
      </c>
      <c r="J615" s="31">
        <v>548.57000000000005</v>
      </c>
      <c r="K615" s="36" t="s">
        <v>1306</v>
      </c>
      <c r="L615" t="s">
        <v>2504</v>
      </c>
      <c r="M615" t="s">
        <v>67</v>
      </c>
      <c r="O615" t="s">
        <v>4183</v>
      </c>
      <c r="P615" t="s">
        <v>1341</v>
      </c>
      <c r="Q615" s="23">
        <v>46281.549830231481</v>
      </c>
      <c r="R615" s="32">
        <f>IF(OR(tbl_de_massas[[#This Row],[dia_vencimento]]="", tbl_de_massas[[#This Row],[dia_vencimento]]="--"), "", WORKDAY(tbl_de_massas[[#This Row],[dia_vencimento]], 5))</f>
        <v>11</v>
      </c>
    </row>
    <row r="616" spans="1:18" x14ac:dyDescent="0.25">
      <c r="A616" t="s">
        <v>4184</v>
      </c>
      <c r="B616" t="s">
        <v>4185</v>
      </c>
      <c r="C616" s="32" t="s">
        <v>2675</v>
      </c>
      <c r="D616" t="s">
        <v>4186</v>
      </c>
      <c r="E616" s="54">
        <v>2695.4</v>
      </c>
      <c r="F616" s="54">
        <v>4680.53</v>
      </c>
      <c r="G616" s="54">
        <v>3201.38</v>
      </c>
      <c r="H616" s="54">
        <v>3870.86</v>
      </c>
      <c r="I616" t="s">
        <v>2877</v>
      </c>
      <c r="J616" s="31">
        <v>4680.53</v>
      </c>
      <c r="K616" s="36" t="s">
        <v>2675</v>
      </c>
      <c r="L616" t="s">
        <v>2502</v>
      </c>
      <c r="M616" t="s">
        <v>4187</v>
      </c>
      <c r="N616" t="s">
        <v>1341</v>
      </c>
      <c r="O616" t="s">
        <v>67</v>
      </c>
      <c r="Q616" s="23">
        <v>46281.549832337965</v>
      </c>
      <c r="R616" s="32">
        <f>IF(OR(tbl_de_massas[[#This Row],[dia_vencimento]]="", tbl_de_massas[[#This Row],[dia_vencimento]]="--"), "", WORKDAY(tbl_de_massas[[#This Row],[dia_vencimento]], 5))</f>
        <v>23</v>
      </c>
    </row>
    <row r="617" spans="1:18" x14ac:dyDescent="0.25">
      <c r="A617" t="s">
        <v>4188</v>
      </c>
      <c r="B617" t="s">
        <v>4189</v>
      </c>
      <c r="C617" s="32" t="s">
        <v>5831</v>
      </c>
      <c r="D617" t="s">
        <v>4190</v>
      </c>
      <c r="E617" s="54">
        <v>8888.08</v>
      </c>
      <c r="F617" s="54">
        <v>4969.83</v>
      </c>
      <c r="G617" s="54">
        <v>3337.97</v>
      </c>
      <c r="H617" s="54">
        <v>3870.86</v>
      </c>
      <c r="I617" t="s">
        <v>2877</v>
      </c>
      <c r="J617" s="31">
        <v>4969.83</v>
      </c>
      <c r="K617" s="36" t="s">
        <v>2675</v>
      </c>
      <c r="L617" t="s">
        <v>2502</v>
      </c>
      <c r="M617" t="s">
        <v>4191</v>
      </c>
      <c r="N617" t="s">
        <v>1341</v>
      </c>
      <c r="O617" t="s">
        <v>4192</v>
      </c>
      <c r="P617" t="s">
        <v>1341</v>
      </c>
      <c r="Q617" s="23">
        <v>46281.549834479163</v>
      </c>
      <c r="R617" s="32">
        <f>IF(OR(tbl_de_massas[[#This Row],[dia_vencimento]]="", tbl_de_massas[[#This Row],[dia_vencimento]]="--"), "", WORKDAY(tbl_de_massas[[#This Row],[dia_vencimento]], 5))</f>
        <v>16</v>
      </c>
    </row>
    <row r="618" spans="1:18" x14ac:dyDescent="0.25">
      <c r="A618" t="s">
        <v>4193</v>
      </c>
      <c r="B618" t="s">
        <v>4194</v>
      </c>
      <c r="C618" s="32" t="s">
        <v>5827</v>
      </c>
      <c r="D618" t="s">
        <v>4195</v>
      </c>
      <c r="E618" s="54">
        <v>12300.54</v>
      </c>
      <c r="F618" s="54">
        <v>4698.67</v>
      </c>
      <c r="G618" s="54">
        <v>13622.25</v>
      </c>
      <c r="H618" s="54">
        <v>3870.86</v>
      </c>
      <c r="I618" t="s">
        <v>2877</v>
      </c>
      <c r="J618" s="31">
        <v>4698.67</v>
      </c>
      <c r="K618" s="36" t="s">
        <v>2675</v>
      </c>
      <c r="L618" t="s">
        <v>2502</v>
      </c>
      <c r="M618" t="s">
        <v>67</v>
      </c>
      <c r="O618" t="s">
        <v>4196</v>
      </c>
      <c r="P618" t="s">
        <v>1341</v>
      </c>
      <c r="Q618" s="23">
        <v>46281.549836539351</v>
      </c>
      <c r="R618" s="32">
        <f>IF(OR(tbl_de_massas[[#This Row],[dia_vencimento]]="", tbl_de_massas[[#This Row],[dia_vencimento]]="--"), "", WORKDAY(tbl_de_massas[[#This Row],[dia_vencimento]], 5))</f>
        <v>12</v>
      </c>
    </row>
    <row r="619" spans="1:18" x14ac:dyDescent="0.25">
      <c r="A619" t="s">
        <v>4197</v>
      </c>
      <c r="B619" t="s">
        <v>4198</v>
      </c>
      <c r="C619" s="32" t="s">
        <v>5833</v>
      </c>
      <c r="D619" t="s">
        <v>4199</v>
      </c>
      <c r="E619" s="54">
        <v>6762.71</v>
      </c>
      <c r="F619" s="54">
        <v>968.37</v>
      </c>
      <c r="G619" s="54">
        <v>20479.2</v>
      </c>
      <c r="H619" s="54">
        <v>0</v>
      </c>
      <c r="I619" t="s">
        <v>2881</v>
      </c>
      <c r="J619" s="31">
        <v>968.37</v>
      </c>
      <c r="K619" s="36" t="s">
        <v>1306</v>
      </c>
      <c r="L619" t="s">
        <v>2504</v>
      </c>
      <c r="M619" t="s">
        <v>4200</v>
      </c>
      <c r="N619" t="s">
        <v>1341</v>
      </c>
      <c r="O619" t="s">
        <v>4201</v>
      </c>
      <c r="P619" t="s">
        <v>1341</v>
      </c>
      <c r="Q619" s="23">
        <v>46281.549839120373</v>
      </c>
      <c r="R619" s="32">
        <f>IF(OR(tbl_de_massas[[#This Row],[dia_vencimento]]="", tbl_de_massas[[#This Row],[dia_vencimento]]="--"), "", WORKDAY(tbl_de_massas[[#This Row],[dia_vencimento]], 5))</f>
        <v>13</v>
      </c>
    </row>
    <row r="620" spans="1:18" x14ac:dyDescent="0.25">
      <c r="A620" t="s">
        <v>4202</v>
      </c>
      <c r="B620" t="s">
        <v>4203</v>
      </c>
      <c r="C620" s="32" t="s">
        <v>2362</v>
      </c>
      <c r="D620" t="s">
        <v>4204</v>
      </c>
      <c r="E620" s="54">
        <v>6340.74</v>
      </c>
      <c r="F620" s="54">
        <v>803.57</v>
      </c>
      <c r="G620" s="54">
        <v>8757.9500000000007</v>
      </c>
      <c r="H620" s="54">
        <v>0</v>
      </c>
      <c r="I620" t="s">
        <v>2881</v>
      </c>
      <c r="J620" s="31">
        <v>803.57</v>
      </c>
      <c r="K620" s="36" t="s">
        <v>1306</v>
      </c>
      <c r="L620" t="s">
        <v>2504</v>
      </c>
      <c r="M620" t="s">
        <v>67</v>
      </c>
      <c r="O620" t="s">
        <v>4205</v>
      </c>
      <c r="P620" t="s">
        <v>1341</v>
      </c>
      <c r="Q620" s="23">
        <v>46281.549842025466</v>
      </c>
      <c r="R620" s="32">
        <f>IF(OR(tbl_de_massas[[#This Row],[dia_vencimento]]="", tbl_de_massas[[#This Row],[dia_vencimento]]="--"), "", WORKDAY(tbl_de_massas[[#This Row],[dia_vencimento]], 5))</f>
        <v>20</v>
      </c>
    </row>
    <row r="621" spans="1:18" x14ac:dyDescent="0.25">
      <c r="A621" t="s">
        <v>4206</v>
      </c>
      <c r="B621" t="s">
        <v>4207</v>
      </c>
      <c r="C621" s="32" t="s">
        <v>5839</v>
      </c>
      <c r="D621" t="s">
        <v>4208</v>
      </c>
      <c r="E621" s="54">
        <v>15020.93</v>
      </c>
      <c r="F621" s="54">
        <v>0</v>
      </c>
      <c r="G621" s="54">
        <v>2468.35</v>
      </c>
      <c r="H621" s="54">
        <v>0</v>
      </c>
      <c r="I621" t="s">
        <v>2881</v>
      </c>
      <c r="J621" s="31">
        <v>753</v>
      </c>
      <c r="K621" s="36" t="s">
        <v>1306</v>
      </c>
      <c r="L621" t="s">
        <v>2504</v>
      </c>
      <c r="M621" t="s">
        <v>67</v>
      </c>
      <c r="O621" t="s">
        <v>4209</v>
      </c>
      <c r="P621" t="s">
        <v>1341</v>
      </c>
      <c r="Q621" s="23">
        <v>46281.54984472222</v>
      </c>
      <c r="R621" s="32">
        <f>IF(OR(tbl_de_massas[[#This Row],[dia_vencimento]]="", tbl_de_massas[[#This Row],[dia_vencimento]]="--"), "", WORKDAY(tbl_de_massas[[#This Row],[dia_vencimento]], 5))</f>
        <v>31</v>
      </c>
    </row>
    <row r="622" spans="1:18" x14ac:dyDescent="0.25">
      <c r="A622" t="s">
        <v>4210</v>
      </c>
      <c r="B622" t="s">
        <v>4211</v>
      </c>
      <c r="C622" s="32" t="s">
        <v>2360</v>
      </c>
      <c r="D622" t="s">
        <v>4212</v>
      </c>
      <c r="E622" s="54">
        <v>5631.54</v>
      </c>
      <c r="F622" s="54">
        <v>4744.6000000000004</v>
      </c>
      <c r="G622" s="54">
        <v>3668.24</v>
      </c>
      <c r="H622" s="54">
        <v>3870.86</v>
      </c>
      <c r="I622" t="s">
        <v>2877</v>
      </c>
      <c r="J622" s="31">
        <v>4744.6000000000004</v>
      </c>
      <c r="K622" s="36" t="s">
        <v>2675</v>
      </c>
      <c r="L622" t="s">
        <v>2502</v>
      </c>
      <c r="M622" t="s">
        <v>4213</v>
      </c>
      <c r="N622" t="s">
        <v>1341</v>
      </c>
      <c r="O622" t="s">
        <v>4214</v>
      </c>
      <c r="P622" t="s">
        <v>1341</v>
      </c>
      <c r="Q622" s="23">
        <v>46281.549847071758</v>
      </c>
      <c r="R622" s="32">
        <f>IF(OR(tbl_de_massas[[#This Row],[dia_vencimento]]="", tbl_de_massas[[#This Row],[dia_vencimento]]="--"), "", WORKDAY(tbl_de_massas[[#This Row],[dia_vencimento]], 5))</f>
        <v>19</v>
      </c>
    </row>
    <row r="623" spans="1:18" x14ac:dyDescent="0.25">
      <c r="A623" t="s">
        <v>4215</v>
      </c>
      <c r="B623" t="s">
        <v>4216</v>
      </c>
      <c r="C623" s="32" t="s">
        <v>2925</v>
      </c>
      <c r="D623" t="s">
        <v>4217</v>
      </c>
      <c r="E623" s="54">
        <v>774.54</v>
      </c>
      <c r="F623" s="54">
        <v>199.7</v>
      </c>
      <c r="G623" s="54">
        <v>3303.84</v>
      </c>
      <c r="H623" s="54">
        <v>0</v>
      </c>
      <c r="I623" t="s">
        <v>2881</v>
      </c>
      <c r="J623" s="31">
        <v>599.09</v>
      </c>
      <c r="K623" s="36" t="s">
        <v>1306</v>
      </c>
      <c r="L623" t="s">
        <v>2504</v>
      </c>
      <c r="M623" t="s">
        <v>4218</v>
      </c>
      <c r="N623" t="s">
        <v>1341</v>
      </c>
      <c r="O623" t="s">
        <v>4219</v>
      </c>
      <c r="P623" t="s">
        <v>1341</v>
      </c>
      <c r="Q623" s="23">
        <v>46281.549849525465</v>
      </c>
      <c r="R623" s="32">
        <f>IF(OR(tbl_de_massas[[#This Row],[dia_vencimento]]="", tbl_de_massas[[#This Row],[dia_vencimento]]="--"), "", WORKDAY(tbl_de_massas[[#This Row],[dia_vencimento]], 5))</f>
        <v>24</v>
      </c>
    </row>
    <row r="624" spans="1:18" x14ac:dyDescent="0.25">
      <c r="A624" t="s">
        <v>4220</v>
      </c>
      <c r="B624" t="s">
        <v>4221</v>
      </c>
      <c r="C624" s="32" t="s">
        <v>5836</v>
      </c>
      <c r="D624" t="s">
        <v>4222</v>
      </c>
      <c r="E624" s="54">
        <v>3215.68</v>
      </c>
      <c r="F624" s="54">
        <v>5067.26</v>
      </c>
      <c r="G624" s="54">
        <v>12716.73</v>
      </c>
      <c r="H624" s="54">
        <v>3870.86</v>
      </c>
      <c r="I624" t="s">
        <v>2877</v>
      </c>
      <c r="J624" s="31">
        <v>5067.26</v>
      </c>
      <c r="K624" s="36" t="s">
        <v>2675</v>
      </c>
      <c r="L624" t="s">
        <v>2502</v>
      </c>
      <c r="M624" t="s">
        <v>4223</v>
      </c>
      <c r="N624" t="s">
        <v>1341</v>
      </c>
      <c r="O624" t="s">
        <v>67</v>
      </c>
      <c r="Q624" s="23">
        <v>46281.549851435186</v>
      </c>
      <c r="R624" s="32">
        <f>IF(OR(tbl_de_massas[[#This Row],[dia_vencimento]]="", tbl_de_massas[[#This Row],[dia_vencimento]]="--"), "", WORKDAY(tbl_de_massas[[#This Row],[dia_vencimento]], 5))</f>
        <v>34</v>
      </c>
    </row>
    <row r="625" spans="1:18" x14ac:dyDescent="0.25">
      <c r="A625" t="s">
        <v>4224</v>
      </c>
      <c r="B625" t="s">
        <v>4225</v>
      </c>
      <c r="C625" s="32" t="s">
        <v>5827</v>
      </c>
      <c r="D625" t="s">
        <v>4226</v>
      </c>
      <c r="E625" s="54">
        <v>3961.58</v>
      </c>
      <c r="F625" s="54">
        <v>837.63</v>
      </c>
      <c r="G625" s="54">
        <v>14477.06</v>
      </c>
      <c r="H625" s="54">
        <v>0</v>
      </c>
      <c r="I625" t="s">
        <v>2881</v>
      </c>
      <c r="J625" s="31">
        <v>837.63</v>
      </c>
      <c r="K625" s="36" t="s">
        <v>1306</v>
      </c>
      <c r="L625" t="s">
        <v>2504</v>
      </c>
      <c r="M625" t="s">
        <v>4227</v>
      </c>
      <c r="N625" t="s">
        <v>1341</v>
      </c>
      <c r="O625" t="s">
        <v>67</v>
      </c>
      <c r="Q625" s="23">
        <v>46281.549853576391</v>
      </c>
      <c r="R625" s="32">
        <f>IF(OR(tbl_de_massas[[#This Row],[dia_vencimento]]="", tbl_de_massas[[#This Row],[dia_vencimento]]="--"), "", WORKDAY(tbl_de_massas[[#This Row],[dia_vencimento]], 5))</f>
        <v>12</v>
      </c>
    </row>
    <row r="626" spans="1:18" x14ac:dyDescent="0.25">
      <c r="A626" t="s">
        <v>4228</v>
      </c>
      <c r="B626" t="s">
        <v>4229</v>
      </c>
      <c r="C626" s="32" t="s">
        <v>5830</v>
      </c>
      <c r="D626" t="s">
        <v>4230</v>
      </c>
      <c r="E626" s="54">
        <v>976.23</v>
      </c>
      <c r="F626" s="54">
        <v>4776.8500000000004</v>
      </c>
      <c r="G626" s="54">
        <v>14162.93</v>
      </c>
      <c r="H626" s="54">
        <v>3870.86</v>
      </c>
      <c r="I626" t="s">
        <v>2877</v>
      </c>
      <c r="J626" s="31">
        <v>4776.8500000000004</v>
      </c>
      <c r="K626" s="36" t="s">
        <v>2675</v>
      </c>
      <c r="L626" t="s">
        <v>2502</v>
      </c>
      <c r="M626" t="s">
        <v>67</v>
      </c>
      <c r="O626" t="s">
        <v>4231</v>
      </c>
      <c r="P626" t="s">
        <v>1341</v>
      </c>
      <c r="Q626" s="23">
        <v>46281.549855543984</v>
      </c>
      <c r="R626" s="32">
        <f>IF(OR(tbl_de_massas[[#This Row],[dia_vencimento]]="", tbl_de_massas[[#This Row],[dia_vencimento]]="--"), "", WORKDAY(tbl_de_massas[[#This Row],[dia_vencimento]], 5))</f>
        <v>13</v>
      </c>
    </row>
    <row r="627" spans="1:18" x14ac:dyDescent="0.25">
      <c r="A627" t="s">
        <v>4232</v>
      </c>
      <c r="B627" t="s">
        <v>4233</v>
      </c>
      <c r="C627" s="32" t="s">
        <v>5837</v>
      </c>
      <c r="D627" t="s">
        <v>4234</v>
      </c>
      <c r="E627" s="54">
        <v>6732.13</v>
      </c>
      <c r="F627" s="54">
        <v>4950.76</v>
      </c>
      <c r="G627" s="54">
        <v>4143.99</v>
      </c>
      <c r="H627" s="54">
        <v>3870.86</v>
      </c>
      <c r="I627" t="s">
        <v>2877</v>
      </c>
      <c r="J627" s="31">
        <v>4950.76</v>
      </c>
      <c r="K627" s="36" t="s">
        <v>2675</v>
      </c>
      <c r="L627" t="s">
        <v>2502</v>
      </c>
      <c r="M627" t="s">
        <v>67</v>
      </c>
      <c r="O627" t="s">
        <v>4235</v>
      </c>
      <c r="P627" t="s">
        <v>1341</v>
      </c>
      <c r="Q627" s="23">
        <v>46281.549857592596</v>
      </c>
      <c r="R627" s="32">
        <f>IF(OR(tbl_de_massas[[#This Row],[dia_vencimento]]="", tbl_de_massas[[#This Row],[dia_vencimento]]="--"), "", WORKDAY(tbl_de_massas[[#This Row],[dia_vencimento]], 5))</f>
        <v>9</v>
      </c>
    </row>
    <row r="628" spans="1:18" x14ac:dyDescent="0.25">
      <c r="A628" t="s">
        <v>4236</v>
      </c>
      <c r="B628" t="s">
        <v>4237</v>
      </c>
      <c r="C628" s="32" t="s">
        <v>5832</v>
      </c>
      <c r="D628" t="s">
        <v>4238</v>
      </c>
      <c r="E628" s="54">
        <v>2965.91</v>
      </c>
      <c r="F628" s="54">
        <v>0</v>
      </c>
      <c r="G628" s="54">
        <v>20452.830000000002</v>
      </c>
      <c r="H628" s="54">
        <v>0</v>
      </c>
      <c r="I628" t="s">
        <v>2881</v>
      </c>
      <c r="J628" s="31">
        <v>846.73</v>
      </c>
      <c r="K628" s="36" t="s">
        <v>1306</v>
      </c>
      <c r="L628" t="s">
        <v>2504</v>
      </c>
      <c r="M628" t="s">
        <v>4239</v>
      </c>
      <c r="N628" t="s">
        <v>1341</v>
      </c>
      <c r="O628" t="s">
        <v>4240</v>
      </c>
      <c r="P628" t="s">
        <v>1341</v>
      </c>
      <c r="Q628" s="23">
        <v>46281.549859687497</v>
      </c>
      <c r="R628" s="32">
        <f>IF(OR(tbl_de_massas[[#This Row],[dia_vencimento]]="", tbl_de_massas[[#This Row],[dia_vencimento]]="--"), "", WORKDAY(tbl_de_massas[[#This Row],[dia_vencimento]], 5))</f>
        <v>27</v>
      </c>
    </row>
    <row r="629" spans="1:18" x14ac:dyDescent="0.25">
      <c r="A629" t="s">
        <v>4241</v>
      </c>
      <c r="B629" t="s">
        <v>4242</v>
      </c>
      <c r="C629" s="32" t="s">
        <v>5838</v>
      </c>
      <c r="D629" t="s">
        <v>4243</v>
      </c>
      <c r="E629" s="54">
        <v>14628.86</v>
      </c>
      <c r="F629" s="54">
        <v>4762.3500000000004</v>
      </c>
      <c r="G629" s="54">
        <v>12966.81</v>
      </c>
      <c r="H629" s="54">
        <v>3870.86</v>
      </c>
      <c r="I629" t="s">
        <v>2877</v>
      </c>
      <c r="J629" s="31">
        <v>4762.3500000000004</v>
      </c>
      <c r="K629" s="36" t="s">
        <v>2675</v>
      </c>
      <c r="L629" t="s">
        <v>2502</v>
      </c>
      <c r="M629" t="s">
        <v>4244</v>
      </c>
      <c r="N629" t="s">
        <v>1341</v>
      </c>
      <c r="O629" t="s">
        <v>67</v>
      </c>
      <c r="Q629" s="23">
        <v>46281.549861527776</v>
      </c>
      <c r="R629" s="32">
        <f>IF(OR(tbl_de_massas[[#This Row],[dia_vencimento]]="", tbl_de_massas[[#This Row],[dia_vencimento]]="--"), "", WORKDAY(tbl_de_massas[[#This Row],[dia_vencimento]], 5))</f>
        <v>11</v>
      </c>
    </row>
    <row r="630" spans="1:18" x14ac:dyDescent="0.25">
      <c r="A630" t="s">
        <v>4245</v>
      </c>
      <c r="B630" t="s">
        <v>4246</v>
      </c>
      <c r="C630" s="32" t="s">
        <v>2346</v>
      </c>
      <c r="D630" t="s">
        <v>4247</v>
      </c>
      <c r="E630" s="54">
        <v>14159.19</v>
      </c>
      <c r="F630" s="54">
        <v>4765.43</v>
      </c>
      <c r="G630" s="54">
        <v>15826.15</v>
      </c>
      <c r="H630" s="54">
        <v>3870.86</v>
      </c>
      <c r="I630" t="s">
        <v>2877</v>
      </c>
      <c r="J630" s="31">
        <v>4765.43</v>
      </c>
      <c r="K630" s="36" t="s">
        <v>2675</v>
      </c>
      <c r="L630" t="s">
        <v>2502</v>
      </c>
      <c r="M630" t="s">
        <v>4248</v>
      </c>
      <c r="N630" t="s">
        <v>1345</v>
      </c>
      <c r="O630" t="s">
        <v>4249</v>
      </c>
      <c r="P630" t="s">
        <v>1345</v>
      </c>
      <c r="Q630" s="23">
        <v>46281.549863611108</v>
      </c>
      <c r="R630" s="32">
        <f>IF(OR(tbl_de_massas[[#This Row],[dia_vencimento]]="", tbl_de_massas[[#This Row],[dia_vencimento]]="--"), "", WORKDAY(tbl_de_massas[[#This Row],[dia_vencimento]], 5))</f>
        <v>18</v>
      </c>
    </row>
    <row r="631" spans="1:18" x14ac:dyDescent="0.25">
      <c r="A631" t="s">
        <v>4250</v>
      </c>
      <c r="B631" t="s">
        <v>4251</v>
      </c>
      <c r="C631" s="32" t="s">
        <v>2361</v>
      </c>
      <c r="D631" t="s">
        <v>4252</v>
      </c>
      <c r="E631" s="54">
        <v>1477.12</v>
      </c>
      <c r="F631" s="54">
        <v>954.95</v>
      </c>
      <c r="G631" s="54">
        <v>17324.66</v>
      </c>
      <c r="H631" s="54">
        <v>0</v>
      </c>
      <c r="I631" t="s">
        <v>2881</v>
      </c>
      <c r="J631" s="31">
        <v>954.95</v>
      </c>
      <c r="K631" s="36" t="s">
        <v>1306</v>
      </c>
      <c r="L631" t="s">
        <v>2504</v>
      </c>
      <c r="M631" t="s">
        <v>4253</v>
      </c>
      <c r="N631" t="s">
        <v>1345</v>
      </c>
      <c r="O631" t="s">
        <v>4254</v>
      </c>
      <c r="P631" t="s">
        <v>1345</v>
      </c>
      <c r="Q631" s="23">
        <v>46281.549865752313</v>
      </c>
      <c r="R631" s="32">
        <f>IF(OR(tbl_de_massas[[#This Row],[dia_vencimento]]="", tbl_de_massas[[#This Row],[dia_vencimento]]="--"), "", WORKDAY(tbl_de_massas[[#This Row],[dia_vencimento]], 5))</f>
        <v>20</v>
      </c>
    </row>
    <row r="632" spans="1:18" x14ac:dyDescent="0.25">
      <c r="A632" t="s">
        <v>4255</v>
      </c>
      <c r="B632" t="s">
        <v>4256</v>
      </c>
      <c r="C632" s="32" t="s">
        <v>5832</v>
      </c>
      <c r="D632" t="s">
        <v>4257</v>
      </c>
      <c r="E632" s="54">
        <v>8170.39</v>
      </c>
      <c r="F632" s="54">
        <v>0</v>
      </c>
      <c r="G632" s="54">
        <v>11759.33</v>
      </c>
      <c r="H632" s="54">
        <v>0</v>
      </c>
      <c r="I632" t="s">
        <v>2881</v>
      </c>
      <c r="J632" s="31">
        <v>843.67</v>
      </c>
      <c r="K632" s="36" t="s">
        <v>1306</v>
      </c>
      <c r="L632" t="s">
        <v>2504</v>
      </c>
      <c r="M632" t="s">
        <v>67</v>
      </c>
      <c r="O632" t="s">
        <v>4258</v>
      </c>
      <c r="P632" t="s">
        <v>1341</v>
      </c>
      <c r="Q632" s="23">
        <v>46281.549867766204</v>
      </c>
      <c r="R632" s="32">
        <f>IF(OR(tbl_de_massas[[#This Row],[dia_vencimento]]="", tbl_de_massas[[#This Row],[dia_vencimento]]="--"), "", WORKDAY(tbl_de_massas[[#This Row],[dia_vencimento]], 5))</f>
        <v>27</v>
      </c>
    </row>
    <row r="633" spans="1:18" x14ac:dyDescent="0.25">
      <c r="A633" t="s">
        <v>4259</v>
      </c>
      <c r="B633" t="s">
        <v>4260</v>
      </c>
      <c r="C633" s="32" t="s">
        <v>5827</v>
      </c>
      <c r="D633" t="s">
        <v>4261</v>
      </c>
      <c r="E633" s="54">
        <v>571.80999999999995</v>
      </c>
      <c r="F633" s="54">
        <v>4829.25</v>
      </c>
      <c r="G633" s="54">
        <v>11893.39</v>
      </c>
      <c r="H633" s="54">
        <v>3870.86</v>
      </c>
      <c r="I633" t="s">
        <v>2877</v>
      </c>
      <c r="J633" s="31">
        <v>4829.25</v>
      </c>
      <c r="K633" s="36" t="s">
        <v>2675</v>
      </c>
      <c r="L633" t="s">
        <v>2502</v>
      </c>
      <c r="M633" t="s">
        <v>4262</v>
      </c>
      <c r="N633" t="s">
        <v>1345</v>
      </c>
      <c r="O633" t="s">
        <v>4263</v>
      </c>
      <c r="P633" t="s">
        <v>1345</v>
      </c>
      <c r="Q633" s="23">
        <v>46281.549869675924</v>
      </c>
      <c r="R633" s="32">
        <f>IF(OR(tbl_de_massas[[#This Row],[dia_vencimento]]="", tbl_de_massas[[#This Row],[dia_vencimento]]="--"), "", WORKDAY(tbl_de_massas[[#This Row],[dia_vencimento]], 5))</f>
        <v>12</v>
      </c>
    </row>
    <row r="634" spans="1:18" x14ac:dyDescent="0.25">
      <c r="A634" t="s">
        <v>4264</v>
      </c>
      <c r="B634" t="s">
        <v>4265</v>
      </c>
      <c r="C634" s="32" t="s">
        <v>2925</v>
      </c>
      <c r="D634" t="s">
        <v>4266</v>
      </c>
      <c r="E634" s="54">
        <v>15050</v>
      </c>
      <c r="F634" s="54">
        <v>310.31</v>
      </c>
      <c r="G634" s="54">
        <v>18414.7</v>
      </c>
      <c r="H634" s="54">
        <v>0</v>
      </c>
      <c r="I634" t="s">
        <v>2881</v>
      </c>
      <c r="J634" s="31">
        <v>558.55999999999995</v>
      </c>
      <c r="K634" s="36" t="s">
        <v>1306</v>
      </c>
      <c r="L634" t="s">
        <v>2504</v>
      </c>
      <c r="M634" t="s">
        <v>67</v>
      </c>
      <c r="O634" t="s">
        <v>4267</v>
      </c>
      <c r="P634" t="s">
        <v>1341</v>
      </c>
      <c r="Q634" s="23">
        <v>46281.549871990741</v>
      </c>
      <c r="R634" s="32">
        <f>IF(OR(tbl_de_massas[[#This Row],[dia_vencimento]]="", tbl_de_massas[[#This Row],[dia_vencimento]]="--"), "", WORKDAY(tbl_de_massas[[#This Row],[dia_vencimento]], 5))</f>
        <v>24</v>
      </c>
    </row>
    <row r="635" spans="1:18" x14ac:dyDescent="0.25">
      <c r="A635" t="s">
        <v>4268</v>
      </c>
      <c r="B635" t="s">
        <v>4269</v>
      </c>
      <c r="C635" s="32" t="s">
        <v>2917</v>
      </c>
      <c r="D635" t="s">
        <v>4270</v>
      </c>
      <c r="E635" s="54">
        <v>11230.11</v>
      </c>
      <c r="F635" s="54">
        <v>0</v>
      </c>
      <c r="G635" s="54">
        <v>19280.900000000001</v>
      </c>
      <c r="H635" s="54">
        <v>0</v>
      </c>
      <c r="I635" t="s">
        <v>2881</v>
      </c>
      <c r="J635" s="31">
        <v>921.57</v>
      </c>
      <c r="K635" s="36" t="s">
        <v>1306</v>
      </c>
      <c r="L635" t="s">
        <v>2504</v>
      </c>
      <c r="M635" t="s">
        <v>67</v>
      </c>
      <c r="O635" t="s">
        <v>4271</v>
      </c>
      <c r="P635" t="s">
        <v>1341</v>
      </c>
      <c r="Q635" s="23">
        <v>46281.5498740162</v>
      </c>
      <c r="R635" s="32">
        <f>IF(OR(tbl_de_massas[[#This Row],[dia_vencimento]]="", tbl_de_massas[[#This Row],[dia_vencimento]]="--"), "", WORKDAY(tbl_de_massas[[#This Row],[dia_vencimento]], 5))</f>
        <v>27</v>
      </c>
    </row>
    <row r="636" spans="1:18" x14ac:dyDescent="0.25">
      <c r="A636" t="s">
        <v>4272</v>
      </c>
      <c r="B636" t="s">
        <v>4273</v>
      </c>
      <c r="C636" s="32" t="s">
        <v>5831</v>
      </c>
      <c r="D636" t="s">
        <v>4274</v>
      </c>
      <c r="E636" s="54">
        <v>15214.62</v>
      </c>
      <c r="F636" s="54">
        <v>818.91</v>
      </c>
      <c r="G636" s="54">
        <v>19740.439999999999</v>
      </c>
      <c r="H636" s="54">
        <v>0</v>
      </c>
      <c r="I636" t="s">
        <v>2881</v>
      </c>
      <c r="J636" s="31">
        <v>818.91</v>
      </c>
      <c r="K636" s="36" t="s">
        <v>1306</v>
      </c>
      <c r="L636" t="s">
        <v>2504</v>
      </c>
      <c r="M636" t="s">
        <v>4275</v>
      </c>
      <c r="N636" t="s">
        <v>1345</v>
      </c>
      <c r="O636" t="s">
        <v>4276</v>
      </c>
      <c r="P636" t="s">
        <v>1345</v>
      </c>
      <c r="Q636" s="23">
        <v>46281.54987584491</v>
      </c>
      <c r="R636" s="32">
        <f>IF(OR(tbl_de_massas[[#This Row],[dia_vencimento]]="", tbl_de_massas[[#This Row],[dia_vencimento]]="--"), "", WORKDAY(tbl_de_massas[[#This Row],[dia_vencimento]], 5))</f>
        <v>16</v>
      </c>
    </row>
    <row r="637" spans="1:18" x14ac:dyDescent="0.25">
      <c r="A637" t="s">
        <v>4277</v>
      </c>
      <c r="B637" t="s">
        <v>4278</v>
      </c>
      <c r="C637" s="32" t="s">
        <v>5838</v>
      </c>
      <c r="D637" t="s">
        <v>4279</v>
      </c>
      <c r="E637" s="54">
        <v>7450.6</v>
      </c>
      <c r="F637" s="54">
        <v>5039.6099999999997</v>
      </c>
      <c r="G637" s="54">
        <v>14947.92</v>
      </c>
      <c r="H637" s="54">
        <v>3870.86</v>
      </c>
      <c r="I637" t="s">
        <v>2877</v>
      </c>
      <c r="J637" s="31">
        <v>5039.6099999999997</v>
      </c>
      <c r="K637" s="36" t="s">
        <v>2675</v>
      </c>
      <c r="L637" t="s">
        <v>2502</v>
      </c>
      <c r="M637" t="s">
        <v>4280</v>
      </c>
      <c r="N637" t="s">
        <v>1341</v>
      </c>
      <c r="O637" t="s">
        <v>4281</v>
      </c>
      <c r="P637" t="s">
        <v>1341</v>
      </c>
      <c r="Q637" s="23">
        <v>46281.549877534722</v>
      </c>
      <c r="R637" s="32">
        <f>IF(OR(tbl_de_massas[[#This Row],[dia_vencimento]]="", tbl_de_massas[[#This Row],[dia_vencimento]]="--"), "", WORKDAY(tbl_de_massas[[#This Row],[dia_vencimento]], 5))</f>
        <v>11</v>
      </c>
    </row>
    <row r="638" spans="1:18" x14ac:dyDescent="0.25">
      <c r="A638" t="s">
        <v>4282</v>
      </c>
      <c r="B638" t="s">
        <v>4283</v>
      </c>
      <c r="C638" s="32" t="s">
        <v>5836</v>
      </c>
      <c r="D638" t="s">
        <v>4284</v>
      </c>
      <c r="E638" s="54">
        <v>7756</v>
      </c>
      <c r="F638" s="54">
        <v>5009.25</v>
      </c>
      <c r="G638" s="54">
        <v>12372.01</v>
      </c>
      <c r="H638" s="54">
        <v>3870.86</v>
      </c>
      <c r="I638" t="s">
        <v>2877</v>
      </c>
      <c r="J638" s="31">
        <v>5009.25</v>
      </c>
      <c r="K638" s="36" t="s">
        <v>2675</v>
      </c>
      <c r="L638" t="s">
        <v>2502</v>
      </c>
      <c r="M638" t="s">
        <v>4285</v>
      </c>
      <c r="N638" t="s">
        <v>1341</v>
      </c>
      <c r="O638" t="s">
        <v>4286</v>
      </c>
      <c r="P638" t="s">
        <v>1341</v>
      </c>
      <c r="Q638" s="23">
        <v>46281.549879756945</v>
      </c>
      <c r="R638" s="32">
        <f>IF(OR(tbl_de_massas[[#This Row],[dia_vencimento]]="", tbl_de_massas[[#This Row],[dia_vencimento]]="--"), "", WORKDAY(tbl_de_massas[[#This Row],[dia_vencimento]], 5))</f>
        <v>34</v>
      </c>
    </row>
    <row r="639" spans="1:18" x14ac:dyDescent="0.25">
      <c r="A639" t="s">
        <v>4287</v>
      </c>
      <c r="B639" t="s">
        <v>4288</v>
      </c>
      <c r="C639" s="32" t="s">
        <v>2362</v>
      </c>
      <c r="D639" t="s">
        <v>4289</v>
      </c>
      <c r="E639" s="54">
        <v>7107.2</v>
      </c>
      <c r="F639" s="54">
        <v>478.53</v>
      </c>
      <c r="G639" s="54">
        <v>14397.58</v>
      </c>
      <c r="H639" s="54">
        <v>0</v>
      </c>
      <c r="I639" t="s">
        <v>2881</v>
      </c>
      <c r="J639" s="31">
        <v>861.35</v>
      </c>
      <c r="K639" s="36" t="s">
        <v>1306</v>
      </c>
      <c r="L639" t="s">
        <v>2504</v>
      </c>
      <c r="M639" t="s">
        <v>4290</v>
      </c>
      <c r="N639" t="s">
        <v>1341</v>
      </c>
      <c r="O639" t="s">
        <v>4291</v>
      </c>
      <c r="P639" t="s">
        <v>1341</v>
      </c>
      <c r="Q639" s="23">
        <v>46281.549882002313</v>
      </c>
      <c r="R639" s="32">
        <f>IF(OR(tbl_de_massas[[#This Row],[dia_vencimento]]="", tbl_de_massas[[#This Row],[dia_vencimento]]="--"), "", WORKDAY(tbl_de_massas[[#This Row],[dia_vencimento]], 5))</f>
        <v>20</v>
      </c>
    </row>
    <row r="640" spans="1:18" x14ac:dyDescent="0.25">
      <c r="A640" t="s">
        <v>4292</v>
      </c>
      <c r="B640" t="s">
        <v>4293</v>
      </c>
      <c r="C640" s="32" t="s">
        <v>5831</v>
      </c>
      <c r="D640" t="s">
        <v>4294</v>
      </c>
      <c r="E640" s="54">
        <v>3136.07</v>
      </c>
      <c r="F640" s="54">
        <v>4940</v>
      </c>
      <c r="G640" s="54">
        <v>107.87</v>
      </c>
      <c r="H640" s="54">
        <v>3870.86</v>
      </c>
      <c r="I640" t="s">
        <v>2877</v>
      </c>
      <c r="J640" s="31">
        <v>4940</v>
      </c>
      <c r="K640" s="36" t="s">
        <v>2675</v>
      </c>
      <c r="L640" t="s">
        <v>2502</v>
      </c>
      <c r="M640" t="s">
        <v>4295</v>
      </c>
      <c r="N640" t="s">
        <v>1341</v>
      </c>
      <c r="O640" t="s">
        <v>4296</v>
      </c>
      <c r="P640" t="s">
        <v>1341</v>
      </c>
      <c r="Q640" s="23">
        <v>46281.549883715277</v>
      </c>
      <c r="R640" s="32">
        <f>IF(OR(tbl_de_massas[[#This Row],[dia_vencimento]]="", tbl_de_massas[[#This Row],[dia_vencimento]]="--"), "", WORKDAY(tbl_de_massas[[#This Row],[dia_vencimento]], 5))</f>
        <v>16</v>
      </c>
    </row>
    <row r="641" spans="1:18" x14ac:dyDescent="0.25">
      <c r="A641" t="s">
        <v>4297</v>
      </c>
      <c r="B641" t="s">
        <v>4298</v>
      </c>
      <c r="C641" s="32" t="s">
        <v>5833</v>
      </c>
      <c r="D641" t="s">
        <v>4299</v>
      </c>
      <c r="E641" s="54">
        <v>8089.06</v>
      </c>
      <c r="F641" s="54">
        <v>4682.29</v>
      </c>
      <c r="G641" s="54">
        <v>1391.05</v>
      </c>
      <c r="H641" s="54">
        <v>3870.86</v>
      </c>
      <c r="I641" t="s">
        <v>2877</v>
      </c>
      <c r="J641" s="31">
        <v>4682.29</v>
      </c>
      <c r="K641" s="36" t="s">
        <v>2675</v>
      </c>
      <c r="L641" t="s">
        <v>2502</v>
      </c>
      <c r="M641" t="s">
        <v>4300</v>
      </c>
      <c r="N641" t="s">
        <v>1341</v>
      </c>
      <c r="O641" t="s">
        <v>67</v>
      </c>
      <c r="Q641" s="23">
        <v>46281.549886180554</v>
      </c>
      <c r="R641" s="32">
        <f>IF(OR(tbl_de_massas[[#This Row],[dia_vencimento]]="", tbl_de_massas[[#This Row],[dia_vencimento]]="--"), "", WORKDAY(tbl_de_massas[[#This Row],[dia_vencimento]], 5))</f>
        <v>13</v>
      </c>
    </row>
    <row r="642" spans="1:18" x14ac:dyDescent="0.25">
      <c r="A642" t="s">
        <v>4301</v>
      </c>
      <c r="B642" t="s">
        <v>4302</v>
      </c>
      <c r="C642" s="32" t="s">
        <v>5834</v>
      </c>
      <c r="D642" t="s">
        <v>4303</v>
      </c>
      <c r="E642" s="54">
        <v>15014.28</v>
      </c>
      <c r="F642" s="54">
        <v>4741.3999999999996</v>
      </c>
      <c r="G642" s="54">
        <v>9692.92</v>
      </c>
      <c r="H642" s="54">
        <v>3870.86</v>
      </c>
      <c r="I642" t="s">
        <v>2877</v>
      </c>
      <c r="J642" s="31">
        <v>4741.3999999999996</v>
      </c>
      <c r="K642" s="36" t="s">
        <v>2675</v>
      </c>
      <c r="L642" t="s">
        <v>2502</v>
      </c>
      <c r="M642" t="s">
        <v>67</v>
      </c>
      <c r="O642" t="s">
        <v>4304</v>
      </c>
      <c r="P642" t="s">
        <v>1345</v>
      </c>
      <c r="Q642" s="23">
        <v>46281.549888414353</v>
      </c>
      <c r="R642" s="32">
        <f>IF(OR(tbl_de_massas[[#This Row],[dia_vencimento]]="", tbl_de_massas[[#This Row],[dia_vencimento]]="--"), "", WORKDAY(tbl_de_massas[[#This Row],[dia_vencimento]], 5))</f>
        <v>10</v>
      </c>
    </row>
    <row r="643" spans="1:18" x14ac:dyDescent="0.25">
      <c r="A643" t="s">
        <v>4305</v>
      </c>
      <c r="B643" t="s">
        <v>4306</v>
      </c>
      <c r="C643" s="32" t="s">
        <v>2918</v>
      </c>
      <c r="D643" t="s">
        <v>4307</v>
      </c>
      <c r="E643" s="54">
        <v>8037.52</v>
      </c>
      <c r="F643" s="54">
        <v>5049.1499999999996</v>
      </c>
      <c r="G643" s="54">
        <v>3193.4</v>
      </c>
      <c r="H643" s="54">
        <v>3870.86</v>
      </c>
      <c r="I643" t="s">
        <v>2877</v>
      </c>
      <c r="J643" s="31">
        <v>5049.1499999999996</v>
      </c>
      <c r="K643" s="36" t="s">
        <v>2675</v>
      </c>
      <c r="L643" t="s">
        <v>2502</v>
      </c>
      <c r="M643" t="s">
        <v>4308</v>
      </c>
      <c r="N643" t="s">
        <v>1341</v>
      </c>
      <c r="O643" t="s">
        <v>67</v>
      </c>
      <c r="Q643" s="23">
        <v>46281.549890497685</v>
      </c>
      <c r="R643" s="32">
        <f>IF(OR(tbl_de_massas[[#This Row],[dia_vencimento]]="", tbl_de_massas[[#This Row],[dia_vencimento]]="--"), "", WORKDAY(tbl_de_massas[[#This Row],[dia_vencimento]], 5))</f>
        <v>34</v>
      </c>
    </row>
    <row r="644" spans="1:18" x14ac:dyDescent="0.25">
      <c r="A644" t="s">
        <v>4309</v>
      </c>
      <c r="B644" t="s">
        <v>4310</v>
      </c>
      <c r="C644" s="32" t="s">
        <v>5834</v>
      </c>
      <c r="D644" t="s">
        <v>4311</v>
      </c>
      <c r="E644" s="54">
        <v>3034.84</v>
      </c>
      <c r="F644" s="54">
        <v>4964.05</v>
      </c>
      <c r="G644" s="54">
        <v>15181.24</v>
      </c>
      <c r="H644" s="54">
        <v>3870.86</v>
      </c>
      <c r="I644" t="s">
        <v>2877</v>
      </c>
      <c r="J644" s="31">
        <v>4964.05</v>
      </c>
      <c r="K644" s="36" t="s">
        <v>2675</v>
      </c>
      <c r="L644" t="s">
        <v>2502</v>
      </c>
      <c r="M644" t="s">
        <v>67</v>
      </c>
      <c r="O644" t="s">
        <v>4312</v>
      </c>
      <c r="P644" t="s">
        <v>1345</v>
      </c>
      <c r="Q644" s="23">
        <v>46281.549892627314</v>
      </c>
      <c r="R644" s="32">
        <f>IF(OR(tbl_de_massas[[#This Row],[dia_vencimento]]="", tbl_de_massas[[#This Row],[dia_vencimento]]="--"), "", WORKDAY(tbl_de_massas[[#This Row],[dia_vencimento]], 5))</f>
        <v>10</v>
      </c>
    </row>
    <row r="645" spans="1:18" x14ac:dyDescent="0.25">
      <c r="A645" t="s">
        <v>4313</v>
      </c>
      <c r="B645" t="s">
        <v>4314</v>
      </c>
      <c r="C645" s="32" t="s">
        <v>5836</v>
      </c>
      <c r="D645" t="s">
        <v>4315</v>
      </c>
      <c r="E645" s="54">
        <v>9825.2800000000007</v>
      </c>
      <c r="F645" s="54">
        <v>4670.5200000000004</v>
      </c>
      <c r="G645" s="54">
        <v>14515.07</v>
      </c>
      <c r="H645" s="54">
        <v>3870.86</v>
      </c>
      <c r="I645" t="s">
        <v>2877</v>
      </c>
      <c r="J645" s="31">
        <v>4670.5200000000004</v>
      </c>
      <c r="K645" s="36" t="s">
        <v>2675</v>
      </c>
      <c r="L645" t="s">
        <v>2502</v>
      </c>
      <c r="M645" t="s">
        <v>4316</v>
      </c>
      <c r="N645" t="s">
        <v>1341</v>
      </c>
      <c r="O645" t="s">
        <v>4317</v>
      </c>
      <c r="P645" t="s">
        <v>1341</v>
      </c>
      <c r="Q645" s="23">
        <v>46281.549894733798</v>
      </c>
      <c r="R645" s="32">
        <f>IF(OR(tbl_de_massas[[#This Row],[dia_vencimento]]="", tbl_de_massas[[#This Row],[dia_vencimento]]="--"), "", WORKDAY(tbl_de_massas[[#This Row],[dia_vencimento]], 5))</f>
        <v>34</v>
      </c>
    </row>
    <row r="646" spans="1:18" x14ac:dyDescent="0.25">
      <c r="A646" t="s">
        <v>4318</v>
      </c>
      <c r="B646" t="s">
        <v>4319</v>
      </c>
      <c r="C646" s="32" t="s">
        <v>5829</v>
      </c>
      <c r="D646" t="s">
        <v>4320</v>
      </c>
      <c r="E646" s="54">
        <v>9645.0300000000007</v>
      </c>
      <c r="F646" s="54">
        <v>0</v>
      </c>
      <c r="G646" s="54">
        <v>4448.71</v>
      </c>
      <c r="H646" s="54">
        <v>0</v>
      </c>
      <c r="I646" t="s">
        <v>2881</v>
      </c>
      <c r="J646" s="31">
        <v>833.35</v>
      </c>
      <c r="K646" s="36" t="s">
        <v>1306</v>
      </c>
      <c r="L646" t="s">
        <v>2504</v>
      </c>
      <c r="M646" t="s">
        <v>67</v>
      </c>
      <c r="O646" t="s">
        <v>4321</v>
      </c>
      <c r="P646" t="s">
        <v>1345</v>
      </c>
      <c r="Q646" s="23">
        <v>46281.554562361111</v>
      </c>
      <c r="R646" s="32">
        <f>IF(OR(tbl_de_massas[[#This Row],[dia_vencimento]]="", tbl_de_massas[[#This Row],[dia_vencimento]]="--"), "", WORKDAY(tbl_de_massas[[#This Row],[dia_vencimento]], 5))</f>
        <v>30</v>
      </c>
    </row>
    <row r="647" spans="1:18" x14ac:dyDescent="0.25">
      <c r="A647" t="s">
        <v>4322</v>
      </c>
      <c r="B647" t="s">
        <v>4323</v>
      </c>
      <c r="C647" s="32" t="s">
        <v>5831</v>
      </c>
      <c r="D647" t="s">
        <v>4324</v>
      </c>
      <c r="E647" s="54">
        <v>1072.78</v>
      </c>
      <c r="F647" s="54">
        <v>4938.54</v>
      </c>
      <c r="G647" s="54">
        <v>14597.06</v>
      </c>
      <c r="H647" s="54">
        <v>3870.86</v>
      </c>
      <c r="I647" t="s">
        <v>2877</v>
      </c>
      <c r="J647" s="31">
        <v>4938.54</v>
      </c>
      <c r="K647" s="36" t="s">
        <v>2675</v>
      </c>
      <c r="L647" t="s">
        <v>2502</v>
      </c>
      <c r="M647" t="s">
        <v>67</v>
      </c>
      <c r="O647" t="s">
        <v>4325</v>
      </c>
      <c r="P647" t="s">
        <v>1345</v>
      </c>
      <c r="Q647" s="23">
        <v>46281.554564502316</v>
      </c>
      <c r="R647" s="32">
        <f>IF(OR(tbl_de_massas[[#This Row],[dia_vencimento]]="", tbl_de_massas[[#This Row],[dia_vencimento]]="--"), "", WORKDAY(tbl_de_massas[[#This Row],[dia_vencimento]], 5))</f>
        <v>16</v>
      </c>
    </row>
    <row r="648" spans="1:18" x14ac:dyDescent="0.25">
      <c r="A648" t="s">
        <v>4326</v>
      </c>
      <c r="B648" t="s">
        <v>4327</v>
      </c>
      <c r="C648" s="32" t="s">
        <v>2918</v>
      </c>
      <c r="D648" t="s">
        <v>4328</v>
      </c>
      <c r="E648" s="54">
        <v>8972.06</v>
      </c>
      <c r="F648" s="54">
        <v>4928.07</v>
      </c>
      <c r="G648" s="54">
        <v>20.72</v>
      </c>
      <c r="H648" s="54">
        <v>3870.86</v>
      </c>
      <c r="I648" t="s">
        <v>2877</v>
      </c>
      <c r="J648" s="31">
        <v>4928.07</v>
      </c>
      <c r="K648" s="36" t="s">
        <v>2675</v>
      </c>
      <c r="L648" t="s">
        <v>2502</v>
      </c>
      <c r="M648" t="s">
        <v>4329</v>
      </c>
      <c r="N648" t="s">
        <v>1341</v>
      </c>
      <c r="O648" t="s">
        <v>67</v>
      </c>
      <c r="Q648" s="23">
        <v>46281.554566863429</v>
      </c>
      <c r="R648" s="32">
        <f>IF(OR(tbl_de_massas[[#This Row],[dia_vencimento]]="", tbl_de_massas[[#This Row],[dia_vencimento]]="--"), "", WORKDAY(tbl_de_massas[[#This Row],[dia_vencimento]], 5))</f>
        <v>34</v>
      </c>
    </row>
    <row r="649" spans="1:18" x14ac:dyDescent="0.25">
      <c r="A649" t="s">
        <v>4330</v>
      </c>
      <c r="B649" t="s">
        <v>4331</v>
      </c>
      <c r="C649" s="32" t="s">
        <v>2921</v>
      </c>
      <c r="D649" t="s">
        <v>4332</v>
      </c>
      <c r="E649" s="54">
        <v>2512.58</v>
      </c>
      <c r="F649" s="54">
        <v>660.23</v>
      </c>
      <c r="G649" s="54">
        <v>2155.84</v>
      </c>
      <c r="H649" s="54">
        <v>0</v>
      </c>
      <c r="I649" t="s">
        <v>2881</v>
      </c>
      <c r="J649" s="31">
        <v>660.23</v>
      </c>
      <c r="K649" s="36" t="s">
        <v>1306</v>
      </c>
      <c r="L649" t="s">
        <v>2504</v>
      </c>
      <c r="M649" t="s">
        <v>67</v>
      </c>
      <c r="O649" t="s">
        <v>4333</v>
      </c>
      <c r="P649" t="s">
        <v>1341</v>
      </c>
      <c r="Q649" s="23">
        <v>46281.554569178239</v>
      </c>
      <c r="R649" s="32">
        <f>IF(OR(tbl_de_massas[[#This Row],[dia_vencimento]]="", tbl_de_massas[[#This Row],[dia_vencimento]]="--"), "", WORKDAY(tbl_de_massas[[#This Row],[dia_vencimento]], 5))</f>
        <v>13</v>
      </c>
    </row>
    <row r="650" spans="1:18" x14ac:dyDescent="0.25">
      <c r="A650" t="s">
        <v>4334</v>
      </c>
      <c r="B650" t="s">
        <v>4335</v>
      </c>
      <c r="C650" s="32" t="s">
        <v>605</v>
      </c>
      <c r="D650" t="s">
        <v>4336</v>
      </c>
      <c r="E650" s="54">
        <v>14269.24</v>
      </c>
      <c r="F650" s="54">
        <v>724.36</v>
      </c>
      <c r="G650" s="54">
        <v>18518.060000000001</v>
      </c>
      <c r="H650" s="54">
        <v>0</v>
      </c>
      <c r="I650" t="s">
        <v>2881</v>
      </c>
      <c r="J650" s="31">
        <v>724.36</v>
      </c>
      <c r="K650" s="36" t="s">
        <v>1306</v>
      </c>
      <c r="L650" t="s">
        <v>2504</v>
      </c>
      <c r="M650" t="s">
        <v>4337</v>
      </c>
      <c r="N650" t="s">
        <v>1345</v>
      </c>
      <c r="O650" t="s">
        <v>67</v>
      </c>
      <c r="Q650" s="23">
        <v>46281.554571377317</v>
      </c>
      <c r="R650" s="32">
        <f>IF(OR(tbl_de_massas[[#This Row],[dia_vencimento]]="", tbl_de_massas[[#This Row],[dia_vencimento]]="--"), "", WORKDAY(tbl_de_massas[[#This Row],[dia_vencimento]], 5))</f>
        <v>17</v>
      </c>
    </row>
    <row r="651" spans="1:18" x14ac:dyDescent="0.25">
      <c r="A651" t="s">
        <v>4338</v>
      </c>
      <c r="B651" t="s">
        <v>4339</v>
      </c>
      <c r="C651" s="32" t="s">
        <v>2361</v>
      </c>
      <c r="D651" t="s">
        <v>4340</v>
      </c>
      <c r="E651" s="54">
        <v>3414.44</v>
      </c>
      <c r="F651" s="54">
        <v>4728.7700000000004</v>
      </c>
      <c r="G651" s="54">
        <v>6707.11</v>
      </c>
      <c r="H651" s="54">
        <v>3870.86</v>
      </c>
      <c r="I651" t="s">
        <v>2877</v>
      </c>
      <c r="J651" s="31">
        <v>4728.7700000000004</v>
      </c>
      <c r="K651" s="36" t="s">
        <v>2675</v>
      </c>
      <c r="L651" t="s">
        <v>2502</v>
      </c>
      <c r="M651" t="s">
        <v>4341</v>
      </c>
      <c r="N651" t="s">
        <v>1341</v>
      </c>
      <c r="O651" t="s">
        <v>4342</v>
      </c>
      <c r="P651" t="s">
        <v>1341</v>
      </c>
      <c r="Q651" s="23">
        <v>46281.554573368056</v>
      </c>
      <c r="R651" s="32">
        <f>IF(OR(tbl_de_massas[[#This Row],[dia_vencimento]]="", tbl_de_massas[[#This Row],[dia_vencimento]]="--"), "", WORKDAY(tbl_de_massas[[#This Row],[dia_vencimento]], 5))</f>
        <v>20</v>
      </c>
    </row>
    <row r="652" spans="1:18" x14ac:dyDescent="0.25">
      <c r="A652" t="s">
        <v>4343</v>
      </c>
      <c r="B652" t="s">
        <v>4344</v>
      </c>
      <c r="C652" s="32" t="s">
        <v>2922</v>
      </c>
      <c r="D652" t="s">
        <v>4345</v>
      </c>
      <c r="E652" s="54">
        <v>10642.43</v>
      </c>
      <c r="F652" s="54">
        <v>4848.4799999999996</v>
      </c>
      <c r="G652" s="54">
        <v>13481.28</v>
      </c>
      <c r="H652" s="54">
        <v>3870.86</v>
      </c>
      <c r="I652" t="s">
        <v>2877</v>
      </c>
      <c r="J652" s="31">
        <v>4848.4799999999996</v>
      </c>
      <c r="K652" s="36" t="s">
        <v>2675</v>
      </c>
      <c r="L652" t="s">
        <v>2502</v>
      </c>
      <c r="M652" t="s">
        <v>4346</v>
      </c>
      <c r="N652" t="s">
        <v>1341</v>
      </c>
      <c r="O652" t="s">
        <v>67</v>
      </c>
      <c r="Q652" s="23">
        <v>46281.554575613423</v>
      </c>
      <c r="R652" s="32">
        <f>IF(OR(tbl_de_massas[[#This Row],[dia_vencimento]]="", tbl_de_massas[[#This Row],[dia_vencimento]]="--"), "", WORKDAY(tbl_de_massas[[#This Row],[dia_vencimento]], 5))</f>
        <v>6</v>
      </c>
    </row>
    <row r="653" spans="1:18" x14ac:dyDescent="0.25">
      <c r="A653" t="s">
        <v>4347</v>
      </c>
      <c r="B653" t="s">
        <v>4348</v>
      </c>
      <c r="C653" s="32" t="s">
        <v>2346</v>
      </c>
      <c r="D653" t="s">
        <v>4349</v>
      </c>
      <c r="E653" s="54">
        <v>11597.5</v>
      </c>
      <c r="F653" s="54">
        <v>546.48</v>
      </c>
      <c r="G653" s="54">
        <v>6588.71</v>
      </c>
      <c r="H653" s="54">
        <v>0</v>
      </c>
      <c r="I653" t="s">
        <v>2881</v>
      </c>
      <c r="J653" s="31">
        <v>546.48</v>
      </c>
      <c r="K653" s="36" t="s">
        <v>1306</v>
      </c>
      <c r="L653" t="s">
        <v>2504</v>
      </c>
      <c r="M653" t="s">
        <v>4350</v>
      </c>
      <c r="N653" t="s">
        <v>1341</v>
      </c>
      <c r="O653" t="s">
        <v>67</v>
      </c>
      <c r="Q653" s="23">
        <v>46281.554578009258</v>
      </c>
      <c r="R653" s="32">
        <f>IF(OR(tbl_de_massas[[#This Row],[dia_vencimento]]="", tbl_de_massas[[#This Row],[dia_vencimento]]="--"), "", WORKDAY(tbl_de_massas[[#This Row],[dia_vencimento]], 5))</f>
        <v>18</v>
      </c>
    </row>
    <row r="654" spans="1:18" x14ac:dyDescent="0.25">
      <c r="A654" t="s">
        <v>4351</v>
      </c>
      <c r="B654" t="s">
        <v>4352</v>
      </c>
      <c r="C654" s="32" t="s">
        <v>5839</v>
      </c>
      <c r="D654" t="s">
        <v>4353</v>
      </c>
      <c r="E654" s="54">
        <v>13284.83</v>
      </c>
      <c r="F654" s="54">
        <v>4696.95</v>
      </c>
      <c r="G654" s="54">
        <v>-292.77</v>
      </c>
      <c r="H654" s="54">
        <v>3870.86</v>
      </c>
      <c r="I654" t="s">
        <v>2877</v>
      </c>
      <c r="J654" s="31">
        <v>4696.95</v>
      </c>
      <c r="K654" s="36" t="s">
        <v>2675</v>
      </c>
      <c r="L654" t="s">
        <v>2502</v>
      </c>
      <c r="M654" t="s">
        <v>67</v>
      </c>
      <c r="O654" t="s">
        <v>4354</v>
      </c>
      <c r="P654" t="s">
        <v>1341</v>
      </c>
      <c r="Q654" s="23">
        <v>46281.554579953707</v>
      </c>
      <c r="R654" s="32">
        <f>IF(OR(tbl_de_massas[[#This Row],[dia_vencimento]]="", tbl_de_massas[[#This Row],[dia_vencimento]]="--"), "", WORKDAY(tbl_de_massas[[#This Row],[dia_vencimento]], 5))</f>
        <v>31</v>
      </c>
    </row>
    <row r="655" spans="1:18" x14ac:dyDescent="0.25">
      <c r="A655" t="s">
        <v>4355</v>
      </c>
      <c r="B655" t="s">
        <v>4356</v>
      </c>
      <c r="C655" s="32" t="s">
        <v>2360</v>
      </c>
      <c r="D655" t="s">
        <v>4357</v>
      </c>
      <c r="E655" s="54">
        <v>14042.62</v>
      </c>
      <c r="F655" s="54">
        <v>4722.49</v>
      </c>
      <c r="G655" s="54">
        <v>6658.54</v>
      </c>
      <c r="H655" s="54">
        <v>3870.86</v>
      </c>
      <c r="I655" t="s">
        <v>2877</v>
      </c>
      <c r="J655" s="31">
        <v>4722.49</v>
      </c>
      <c r="K655" s="36" t="s">
        <v>2675</v>
      </c>
      <c r="L655" t="s">
        <v>2502</v>
      </c>
      <c r="M655" t="s">
        <v>4358</v>
      </c>
      <c r="N655" t="s">
        <v>1341</v>
      </c>
      <c r="O655" t="s">
        <v>67</v>
      </c>
      <c r="Q655" s="23">
        <v>46281.554582164354</v>
      </c>
      <c r="R655" s="32">
        <f>IF(OR(tbl_de_massas[[#This Row],[dia_vencimento]]="", tbl_de_massas[[#This Row],[dia_vencimento]]="--"), "", WORKDAY(tbl_de_massas[[#This Row],[dia_vencimento]], 5))</f>
        <v>19</v>
      </c>
    </row>
    <row r="656" spans="1:18" x14ac:dyDescent="0.25">
      <c r="A656" t="s">
        <v>4359</v>
      </c>
      <c r="B656" t="s">
        <v>4360</v>
      </c>
      <c r="C656" s="32" t="s">
        <v>5832</v>
      </c>
      <c r="D656" t="s">
        <v>4361</v>
      </c>
      <c r="E656" s="54">
        <v>1912.51</v>
      </c>
      <c r="F656" s="54">
        <v>4723.99</v>
      </c>
      <c r="G656" s="54">
        <v>-1440.85</v>
      </c>
      <c r="H656" s="54">
        <v>3870.86</v>
      </c>
      <c r="I656" t="s">
        <v>2877</v>
      </c>
      <c r="J656" s="31">
        <v>4723.99</v>
      </c>
      <c r="K656" s="36" t="s">
        <v>2675</v>
      </c>
      <c r="L656" t="s">
        <v>2502</v>
      </c>
      <c r="M656" t="s">
        <v>67</v>
      </c>
      <c r="O656" t="s">
        <v>4362</v>
      </c>
      <c r="P656" t="s">
        <v>1341</v>
      </c>
      <c r="Q656" s="23">
        <v>46281.554584560188</v>
      </c>
      <c r="R656" s="32">
        <f>IF(OR(tbl_de_massas[[#This Row],[dia_vencimento]]="", tbl_de_massas[[#This Row],[dia_vencimento]]="--"), "", WORKDAY(tbl_de_massas[[#This Row],[dia_vencimento]], 5))</f>
        <v>27</v>
      </c>
    </row>
    <row r="657" spans="1:18" x14ac:dyDescent="0.25">
      <c r="A657" t="s">
        <v>4363</v>
      </c>
      <c r="B657" t="s">
        <v>4364</v>
      </c>
      <c r="C657" s="32" t="s">
        <v>2346</v>
      </c>
      <c r="D657" t="s">
        <v>4365</v>
      </c>
      <c r="E657" s="54">
        <v>10060.56</v>
      </c>
      <c r="F657" s="54">
        <v>4895.7700000000004</v>
      </c>
      <c r="G657" s="54">
        <v>563.82000000000005</v>
      </c>
      <c r="H657" s="54">
        <v>3870.86</v>
      </c>
      <c r="I657" t="s">
        <v>2877</v>
      </c>
      <c r="J657" s="31">
        <v>4895.7700000000004</v>
      </c>
      <c r="K657" s="36" t="s">
        <v>2675</v>
      </c>
      <c r="L657" t="s">
        <v>2502</v>
      </c>
      <c r="M657" t="s">
        <v>4366</v>
      </c>
      <c r="N657" t="s">
        <v>1345</v>
      </c>
      <c r="O657" t="s">
        <v>67</v>
      </c>
      <c r="Q657" s="23">
        <v>46281.554586493054</v>
      </c>
      <c r="R657" s="32">
        <f>IF(OR(tbl_de_massas[[#This Row],[dia_vencimento]]="", tbl_de_massas[[#This Row],[dia_vencimento]]="--"), "", WORKDAY(tbl_de_massas[[#This Row],[dia_vencimento]], 5))</f>
        <v>18</v>
      </c>
    </row>
    <row r="658" spans="1:18" x14ac:dyDescent="0.25">
      <c r="A658" t="s">
        <v>4367</v>
      </c>
      <c r="B658" t="s">
        <v>4368</v>
      </c>
      <c r="C658" s="32" t="s">
        <v>5827</v>
      </c>
      <c r="D658" t="s">
        <v>4369</v>
      </c>
      <c r="E658" s="54">
        <v>1001.85</v>
      </c>
      <c r="F658" s="54">
        <v>638.70000000000005</v>
      </c>
      <c r="G658" s="54">
        <v>9861.36</v>
      </c>
      <c r="H658" s="54">
        <v>0</v>
      </c>
      <c r="I658" t="s">
        <v>2881</v>
      </c>
      <c r="J658" s="31">
        <v>638.70000000000005</v>
      </c>
      <c r="K658" s="36" t="s">
        <v>1306</v>
      </c>
      <c r="L658" t="s">
        <v>2504</v>
      </c>
      <c r="M658" t="s">
        <v>67</v>
      </c>
      <c r="O658" t="s">
        <v>4370</v>
      </c>
      <c r="P658" t="s">
        <v>1345</v>
      </c>
      <c r="Q658" s="23">
        <v>46281.554588738429</v>
      </c>
      <c r="R658" s="32">
        <f>IF(OR(tbl_de_massas[[#This Row],[dia_vencimento]]="", tbl_de_massas[[#This Row],[dia_vencimento]]="--"), "", WORKDAY(tbl_de_massas[[#This Row],[dia_vencimento]], 5))</f>
        <v>12</v>
      </c>
    </row>
    <row r="659" spans="1:18" x14ac:dyDescent="0.25">
      <c r="A659" t="s">
        <v>4371</v>
      </c>
      <c r="B659" t="s">
        <v>4372</v>
      </c>
      <c r="C659" s="32" t="s">
        <v>5837</v>
      </c>
      <c r="D659" t="s">
        <v>4373</v>
      </c>
      <c r="E659" s="54">
        <v>7690.45</v>
      </c>
      <c r="F659" s="54">
        <v>957.9</v>
      </c>
      <c r="G659" s="54">
        <v>7257.29</v>
      </c>
      <c r="H659" s="54">
        <v>0</v>
      </c>
      <c r="I659" t="s">
        <v>2881</v>
      </c>
      <c r="J659" s="31">
        <v>957.9</v>
      </c>
      <c r="K659" s="36" t="s">
        <v>1306</v>
      </c>
      <c r="L659" t="s">
        <v>2504</v>
      </c>
      <c r="M659" t="s">
        <v>4374</v>
      </c>
      <c r="N659" t="s">
        <v>1341</v>
      </c>
      <c r="O659" t="s">
        <v>67</v>
      </c>
      <c r="Q659" s="23">
        <v>46281.554590428241</v>
      </c>
      <c r="R659" s="32">
        <f>IF(OR(tbl_de_massas[[#This Row],[dia_vencimento]]="", tbl_de_massas[[#This Row],[dia_vencimento]]="--"), "", WORKDAY(tbl_de_massas[[#This Row],[dia_vencimento]], 5))</f>
        <v>9</v>
      </c>
    </row>
    <row r="660" spans="1:18" x14ac:dyDescent="0.25">
      <c r="A660" t="s">
        <v>4375</v>
      </c>
      <c r="B660" t="s">
        <v>4376</v>
      </c>
      <c r="C660" s="32" t="s">
        <v>5836</v>
      </c>
      <c r="D660" t="s">
        <v>4377</v>
      </c>
      <c r="E660" s="54">
        <v>10343.32</v>
      </c>
      <c r="F660" s="54">
        <v>4999.1099999999997</v>
      </c>
      <c r="G660" s="54">
        <v>1876.46</v>
      </c>
      <c r="H660" s="54">
        <v>3870.86</v>
      </c>
      <c r="I660" t="s">
        <v>2877</v>
      </c>
      <c r="J660" s="31">
        <v>4999.1099999999997</v>
      </c>
      <c r="K660" s="36" t="s">
        <v>2675</v>
      </c>
      <c r="L660" t="s">
        <v>2502</v>
      </c>
      <c r="M660" t="s">
        <v>4378</v>
      </c>
      <c r="N660" t="s">
        <v>1341</v>
      </c>
      <c r="O660" t="s">
        <v>4379</v>
      </c>
      <c r="P660" t="s">
        <v>1341</v>
      </c>
      <c r="Q660" s="23">
        <v>46281.554592037035</v>
      </c>
      <c r="R660" s="32">
        <f>IF(OR(tbl_de_massas[[#This Row],[dia_vencimento]]="", tbl_de_massas[[#This Row],[dia_vencimento]]="--"), "", WORKDAY(tbl_de_massas[[#This Row],[dia_vencimento]], 5))</f>
        <v>34</v>
      </c>
    </row>
    <row r="661" spans="1:18" x14ac:dyDescent="0.25">
      <c r="A661" t="s">
        <v>4380</v>
      </c>
      <c r="B661" t="s">
        <v>4381</v>
      </c>
      <c r="C661" s="32" t="s">
        <v>5828</v>
      </c>
      <c r="D661" t="s">
        <v>4382</v>
      </c>
      <c r="E661" s="54">
        <v>14650.42</v>
      </c>
      <c r="F661" s="54">
        <v>0</v>
      </c>
      <c r="G661" s="54">
        <v>10709.76</v>
      </c>
      <c r="H661" s="54">
        <v>0</v>
      </c>
      <c r="I661" t="s">
        <v>2881</v>
      </c>
      <c r="J661" s="31">
        <v>658.05</v>
      </c>
      <c r="K661" s="36" t="s">
        <v>1306</v>
      </c>
      <c r="L661" t="s">
        <v>2504</v>
      </c>
      <c r="M661" t="s">
        <v>4383</v>
      </c>
      <c r="N661" t="s">
        <v>1341</v>
      </c>
      <c r="O661" t="s">
        <v>67</v>
      </c>
      <c r="Q661" s="23">
        <v>46281.554594062502</v>
      </c>
      <c r="R661" s="32">
        <f>IF(OR(tbl_de_massas[[#This Row],[dia_vencimento]]="", tbl_de_massas[[#This Row],[dia_vencimento]]="--"), "", WORKDAY(tbl_de_massas[[#This Row],[dia_vencimento]], 5))</f>
        <v>33</v>
      </c>
    </row>
    <row r="662" spans="1:18" x14ac:dyDescent="0.25">
      <c r="A662" t="s">
        <v>4384</v>
      </c>
      <c r="B662" t="s">
        <v>4385</v>
      </c>
      <c r="C662" s="32" t="s">
        <v>5839</v>
      </c>
      <c r="D662" t="s">
        <v>4386</v>
      </c>
      <c r="E662" s="54">
        <v>11235.11</v>
      </c>
      <c r="F662" s="54">
        <v>0</v>
      </c>
      <c r="G662" s="54">
        <v>2708.57</v>
      </c>
      <c r="H662" s="54">
        <v>0</v>
      </c>
      <c r="I662" t="s">
        <v>2881</v>
      </c>
      <c r="J662" s="31">
        <v>534.54999999999995</v>
      </c>
      <c r="K662" s="36" t="s">
        <v>1306</v>
      </c>
      <c r="L662" t="s">
        <v>2504</v>
      </c>
      <c r="M662" t="s">
        <v>4387</v>
      </c>
      <c r="N662" t="s">
        <v>1341</v>
      </c>
      <c r="O662" t="s">
        <v>67</v>
      </c>
      <c r="Q662" s="23">
        <v>46281.554595995367</v>
      </c>
      <c r="R662" s="32">
        <f>IF(OR(tbl_de_massas[[#This Row],[dia_vencimento]]="", tbl_de_massas[[#This Row],[dia_vencimento]]="--"), "", WORKDAY(tbl_de_massas[[#This Row],[dia_vencimento]], 5))</f>
        <v>31</v>
      </c>
    </row>
    <row r="663" spans="1:18" x14ac:dyDescent="0.25">
      <c r="A663" t="s">
        <v>4388</v>
      </c>
      <c r="B663" t="s">
        <v>4389</v>
      </c>
      <c r="C663" s="32" t="s">
        <v>2917</v>
      </c>
      <c r="D663" t="s">
        <v>4390</v>
      </c>
      <c r="E663" s="54">
        <v>10698.09</v>
      </c>
      <c r="F663" s="54">
        <v>4912.7</v>
      </c>
      <c r="G663" s="54">
        <v>-2122.67</v>
      </c>
      <c r="H663" s="54">
        <v>3870.86</v>
      </c>
      <c r="I663" t="s">
        <v>2877</v>
      </c>
      <c r="J663" s="31">
        <v>4912.7</v>
      </c>
      <c r="K663" s="36" t="s">
        <v>2675</v>
      </c>
      <c r="L663" t="s">
        <v>2502</v>
      </c>
      <c r="M663" t="s">
        <v>4391</v>
      </c>
      <c r="N663" t="s">
        <v>1341</v>
      </c>
      <c r="O663" t="s">
        <v>67</v>
      </c>
      <c r="Q663" s="23">
        <v>46281.554597800925</v>
      </c>
      <c r="R663" s="32">
        <f>IF(OR(tbl_de_massas[[#This Row],[dia_vencimento]]="", tbl_de_massas[[#This Row],[dia_vencimento]]="--"), "", WORKDAY(tbl_de_massas[[#This Row],[dia_vencimento]], 5))</f>
        <v>27</v>
      </c>
    </row>
    <row r="664" spans="1:18" x14ac:dyDescent="0.25">
      <c r="A664" t="s">
        <v>4392</v>
      </c>
      <c r="B664" t="s">
        <v>4393</v>
      </c>
      <c r="C664" s="32" t="s">
        <v>605</v>
      </c>
      <c r="D664" t="s">
        <v>4394</v>
      </c>
      <c r="E664" s="54">
        <v>10446.58</v>
      </c>
      <c r="F664" s="54">
        <v>4783.5600000000004</v>
      </c>
      <c r="G664" s="54">
        <v>4101.63</v>
      </c>
      <c r="H664" s="54">
        <v>3870.86</v>
      </c>
      <c r="I664" t="s">
        <v>2877</v>
      </c>
      <c r="J664" s="31">
        <v>4783.5600000000004</v>
      </c>
      <c r="K664" s="36" t="s">
        <v>2675</v>
      </c>
      <c r="L664" t="s">
        <v>2502</v>
      </c>
      <c r="M664" t="s">
        <v>4395</v>
      </c>
      <c r="N664" t="s">
        <v>1345</v>
      </c>
      <c r="O664" t="s">
        <v>67</v>
      </c>
      <c r="Q664" s="23">
        <v>46281.554599814815</v>
      </c>
      <c r="R664" s="32">
        <f>IF(OR(tbl_de_massas[[#This Row],[dia_vencimento]]="", tbl_de_massas[[#This Row],[dia_vencimento]]="--"), "", WORKDAY(tbl_de_massas[[#This Row],[dia_vencimento]], 5))</f>
        <v>17</v>
      </c>
    </row>
    <row r="665" spans="1:18" x14ac:dyDescent="0.25">
      <c r="A665" t="s">
        <v>4396</v>
      </c>
      <c r="B665" t="s">
        <v>4397</v>
      </c>
      <c r="C665" s="32" t="s">
        <v>2918</v>
      </c>
      <c r="D665" t="s">
        <v>4398</v>
      </c>
      <c r="E665" s="54">
        <v>6111.2</v>
      </c>
      <c r="F665" s="54">
        <v>4693.59</v>
      </c>
      <c r="G665" s="54">
        <v>11051.51</v>
      </c>
      <c r="H665" s="54">
        <v>3870.86</v>
      </c>
      <c r="I665" t="s">
        <v>2877</v>
      </c>
      <c r="J665" s="31">
        <v>4693.59</v>
      </c>
      <c r="K665" s="36" t="s">
        <v>2675</v>
      </c>
      <c r="L665" t="s">
        <v>2502</v>
      </c>
      <c r="M665" t="s">
        <v>4399</v>
      </c>
      <c r="N665" t="s">
        <v>1341</v>
      </c>
      <c r="O665" t="s">
        <v>4400</v>
      </c>
      <c r="P665" t="s">
        <v>1341</v>
      </c>
      <c r="Q665" s="23">
        <v>46281.5546019213</v>
      </c>
      <c r="R665" s="32">
        <f>IF(OR(tbl_de_massas[[#This Row],[dia_vencimento]]="", tbl_de_massas[[#This Row],[dia_vencimento]]="--"), "", WORKDAY(tbl_de_massas[[#This Row],[dia_vencimento]], 5))</f>
        <v>34</v>
      </c>
    </row>
    <row r="666" spans="1:18" x14ac:dyDescent="0.25">
      <c r="A666" t="s">
        <v>4401</v>
      </c>
      <c r="B666" t="s">
        <v>4402</v>
      </c>
      <c r="C666" s="32" t="s">
        <v>608</v>
      </c>
      <c r="D666" t="s">
        <v>4403</v>
      </c>
      <c r="E666" s="54">
        <v>10759.46</v>
      </c>
      <c r="F666" s="54">
        <v>5053.68</v>
      </c>
      <c r="G666" s="54">
        <v>9652.5499999999993</v>
      </c>
      <c r="H666" s="54">
        <v>3870.86</v>
      </c>
      <c r="I666" t="s">
        <v>2877</v>
      </c>
      <c r="J666" s="31">
        <v>5053.68</v>
      </c>
      <c r="K666" s="36" t="s">
        <v>2675</v>
      </c>
      <c r="L666" t="s">
        <v>2502</v>
      </c>
      <c r="M666" t="s">
        <v>67</v>
      </c>
      <c r="O666" t="s">
        <v>4404</v>
      </c>
      <c r="P666" t="s">
        <v>1345</v>
      </c>
      <c r="Q666" s="23">
        <v>46281.554603935183</v>
      </c>
      <c r="R666" s="32">
        <f>IF(OR(tbl_de_massas[[#This Row],[dia_vencimento]]="", tbl_de_massas[[#This Row],[dia_vencimento]]="--"), "", WORKDAY(tbl_de_massas[[#This Row],[dia_vencimento]], 5))</f>
        <v>27</v>
      </c>
    </row>
    <row r="667" spans="1:18" x14ac:dyDescent="0.25">
      <c r="A667" t="s">
        <v>4405</v>
      </c>
      <c r="B667" t="s">
        <v>4406</v>
      </c>
      <c r="C667" s="32" t="s">
        <v>2360</v>
      </c>
      <c r="D667" t="s">
        <v>4407</v>
      </c>
      <c r="E667" s="54">
        <v>12348.98</v>
      </c>
      <c r="F667" s="54">
        <v>638.04999999999995</v>
      </c>
      <c r="G667" s="54">
        <v>3904.98</v>
      </c>
      <c r="H667" s="54">
        <v>0</v>
      </c>
      <c r="I667" t="s">
        <v>2881</v>
      </c>
      <c r="J667" s="31">
        <v>638.04999999999995</v>
      </c>
      <c r="K667" s="36" t="s">
        <v>1306</v>
      </c>
      <c r="L667" t="s">
        <v>2504</v>
      </c>
      <c r="M667" t="s">
        <v>67</v>
      </c>
      <c r="O667" t="s">
        <v>4408</v>
      </c>
      <c r="P667" t="s">
        <v>1341</v>
      </c>
      <c r="Q667" s="23">
        <v>46281.554605960649</v>
      </c>
      <c r="R667" s="32">
        <f>IF(OR(tbl_de_massas[[#This Row],[dia_vencimento]]="", tbl_de_massas[[#This Row],[dia_vencimento]]="--"), "", WORKDAY(tbl_de_massas[[#This Row],[dia_vencimento]], 5))</f>
        <v>19</v>
      </c>
    </row>
    <row r="668" spans="1:18" x14ac:dyDescent="0.25">
      <c r="A668" t="s">
        <v>4409</v>
      </c>
      <c r="B668" t="s">
        <v>4410</v>
      </c>
      <c r="C668" s="32" t="s">
        <v>5831</v>
      </c>
      <c r="D668" t="s">
        <v>4411</v>
      </c>
      <c r="E668" s="54">
        <v>4279.6000000000004</v>
      </c>
      <c r="F668" s="54">
        <v>4932.91</v>
      </c>
      <c r="G668" s="54">
        <v>12477.86</v>
      </c>
      <c r="H668" s="54">
        <v>3870.86</v>
      </c>
      <c r="I668" t="s">
        <v>2877</v>
      </c>
      <c r="J668" s="31">
        <v>4932.91</v>
      </c>
      <c r="K668" s="36" t="s">
        <v>2675</v>
      </c>
      <c r="L668" t="s">
        <v>2502</v>
      </c>
      <c r="M668" t="s">
        <v>4412</v>
      </c>
      <c r="N668" t="s">
        <v>1341</v>
      </c>
      <c r="O668" t="s">
        <v>4413</v>
      </c>
      <c r="P668" t="s">
        <v>1341</v>
      </c>
      <c r="Q668" s="23">
        <v>46281.554607719911</v>
      </c>
      <c r="R668" s="32">
        <f>IF(OR(tbl_de_massas[[#This Row],[dia_vencimento]]="", tbl_de_massas[[#This Row],[dia_vencimento]]="--"), "", WORKDAY(tbl_de_massas[[#This Row],[dia_vencimento]], 5))</f>
        <v>16</v>
      </c>
    </row>
    <row r="669" spans="1:18" x14ac:dyDescent="0.25">
      <c r="A669" t="s">
        <v>4414</v>
      </c>
      <c r="B669" t="s">
        <v>4415</v>
      </c>
      <c r="C669" s="32" t="s">
        <v>605</v>
      </c>
      <c r="D669" t="s">
        <v>3619</v>
      </c>
      <c r="E669" s="54">
        <v>8096.67</v>
      </c>
      <c r="F669" s="54">
        <v>4660.45</v>
      </c>
      <c r="G669" s="54">
        <v>4066.56</v>
      </c>
      <c r="H669" s="54">
        <v>3870.86</v>
      </c>
      <c r="I669" t="s">
        <v>2877</v>
      </c>
      <c r="J669" s="31">
        <v>4660.45</v>
      </c>
      <c r="K669" s="36" t="s">
        <v>2675</v>
      </c>
      <c r="L669" t="s">
        <v>2502</v>
      </c>
      <c r="M669" t="s">
        <v>67</v>
      </c>
      <c r="O669" t="s">
        <v>4416</v>
      </c>
      <c r="P669" t="s">
        <v>1341</v>
      </c>
      <c r="Q669" s="23">
        <v>46281.554609999999</v>
      </c>
      <c r="R669" s="32">
        <f>IF(OR(tbl_de_massas[[#This Row],[dia_vencimento]]="", tbl_de_massas[[#This Row],[dia_vencimento]]="--"), "", WORKDAY(tbl_de_massas[[#This Row],[dia_vencimento]], 5))</f>
        <v>17</v>
      </c>
    </row>
    <row r="670" spans="1:18" x14ac:dyDescent="0.25">
      <c r="A670" t="s">
        <v>4417</v>
      </c>
      <c r="B670" t="s">
        <v>4418</v>
      </c>
      <c r="C670" s="32" t="s">
        <v>5834</v>
      </c>
      <c r="D670" t="s">
        <v>4419</v>
      </c>
      <c r="E670" s="54">
        <v>6554.35</v>
      </c>
      <c r="F670" s="54">
        <v>4908.09</v>
      </c>
      <c r="G670" s="54">
        <v>9157.07</v>
      </c>
      <c r="H670" s="54">
        <v>3870.86</v>
      </c>
      <c r="I670" t="s">
        <v>2877</v>
      </c>
      <c r="J670" s="31">
        <v>4908.09</v>
      </c>
      <c r="K670" s="36" t="s">
        <v>2675</v>
      </c>
      <c r="L670" t="s">
        <v>2502</v>
      </c>
      <c r="M670" t="s">
        <v>67</v>
      </c>
      <c r="O670" t="s">
        <v>4420</v>
      </c>
      <c r="P670" t="s">
        <v>1345</v>
      </c>
      <c r="Q670" s="23">
        <v>46281.554612662039</v>
      </c>
      <c r="R670" s="32">
        <f>IF(OR(tbl_de_massas[[#This Row],[dia_vencimento]]="", tbl_de_massas[[#This Row],[dia_vencimento]]="--"), "", WORKDAY(tbl_de_massas[[#This Row],[dia_vencimento]], 5))</f>
        <v>10</v>
      </c>
    </row>
    <row r="671" spans="1:18" x14ac:dyDescent="0.25">
      <c r="A671" t="s">
        <v>4421</v>
      </c>
      <c r="B671" t="s">
        <v>4422</v>
      </c>
      <c r="C671" s="32" t="s">
        <v>5837</v>
      </c>
      <c r="D671" t="s">
        <v>4423</v>
      </c>
      <c r="E671" s="54">
        <v>12132.57</v>
      </c>
      <c r="F671" s="54">
        <v>878.11</v>
      </c>
      <c r="G671" s="54">
        <v>3695.41</v>
      </c>
      <c r="H671" s="54">
        <v>0</v>
      </c>
      <c r="I671" t="s">
        <v>2881</v>
      </c>
      <c r="J671" s="31">
        <v>878.11</v>
      </c>
      <c r="K671" s="36" t="s">
        <v>1306</v>
      </c>
      <c r="L671" t="s">
        <v>2504</v>
      </c>
      <c r="M671" t="s">
        <v>4424</v>
      </c>
      <c r="N671" t="s">
        <v>1341</v>
      </c>
      <c r="O671" t="s">
        <v>67</v>
      </c>
      <c r="Q671" s="23">
        <v>46281.554614791668</v>
      </c>
      <c r="R671" s="32">
        <f>IF(OR(tbl_de_massas[[#This Row],[dia_vencimento]]="", tbl_de_massas[[#This Row],[dia_vencimento]]="--"), "", WORKDAY(tbl_de_massas[[#This Row],[dia_vencimento]], 5))</f>
        <v>9</v>
      </c>
    </row>
    <row r="672" spans="1:18" x14ac:dyDescent="0.25">
      <c r="A672" t="s">
        <v>4425</v>
      </c>
      <c r="B672" t="s">
        <v>4426</v>
      </c>
      <c r="C672" s="32" t="s">
        <v>2921</v>
      </c>
      <c r="D672" t="s">
        <v>4427</v>
      </c>
      <c r="E672" s="54">
        <v>6551.56</v>
      </c>
      <c r="F672" s="54">
        <v>505.1</v>
      </c>
      <c r="G672" s="54">
        <v>16933.96</v>
      </c>
      <c r="H672" s="54">
        <v>0</v>
      </c>
      <c r="I672" t="s">
        <v>2881</v>
      </c>
      <c r="J672" s="31">
        <v>505.1</v>
      </c>
      <c r="K672" s="36" t="s">
        <v>1306</v>
      </c>
      <c r="L672" t="s">
        <v>2504</v>
      </c>
      <c r="M672" t="s">
        <v>4428</v>
      </c>
      <c r="N672" t="s">
        <v>1341</v>
      </c>
      <c r="O672" t="s">
        <v>4429</v>
      </c>
      <c r="P672" t="s">
        <v>1341</v>
      </c>
      <c r="Q672" s="23">
        <v>46281.554616689813</v>
      </c>
      <c r="R672" s="32">
        <f>IF(OR(tbl_de_massas[[#This Row],[dia_vencimento]]="", tbl_de_massas[[#This Row],[dia_vencimento]]="--"), "", WORKDAY(tbl_de_massas[[#This Row],[dia_vencimento]], 5))</f>
        <v>13</v>
      </c>
    </row>
    <row r="673" spans="1:18" x14ac:dyDescent="0.25">
      <c r="A673" t="s">
        <v>4430</v>
      </c>
      <c r="B673" t="s">
        <v>4431</v>
      </c>
      <c r="C673" s="32" t="s">
        <v>5838</v>
      </c>
      <c r="D673" t="s">
        <v>4432</v>
      </c>
      <c r="E673" s="54">
        <v>2978.23</v>
      </c>
      <c r="F673" s="54">
        <v>799.17</v>
      </c>
      <c r="G673" s="54">
        <v>3113.33</v>
      </c>
      <c r="H673" s="54">
        <v>0</v>
      </c>
      <c r="I673" t="s">
        <v>2881</v>
      </c>
      <c r="J673" s="31">
        <v>799.17</v>
      </c>
      <c r="K673" s="36" t="s">
        <v>1306</v>
      </c>
      <c r="L673" t="s">
        <v>2504</v>
      </c>
      <c r="M673" t="s">
        <v>67</v>
      </c>
      <c r="O673" t="s">
        <v>4433</v>
      </c>
      <c r="P673" t="s">
        <v>1341</v>
      </c>
      <c r="Q673" s="23">
        <v>46281.554618796297</v>
      </c>
      <c r="R673" s="32">
        <f>IF(OR(tbl_de_massas[[#This Row],[dia_vencimento]]="", tbl_de_massas[[#This Row],[dia_vencimento]]="--"), "", WORKDAY(tbl_de_massas[[#This Row],[dia_vencimento]], 5))</f>
        <v>11</v>
      </c>
    </row>
    <row r="674" spans="1:18" x14ac:dyDescent="0.25">
      <c r="A674" t="s">
        <v>4434</v>
      </c>
      <c r="B674" t="s">
        <v>4435</v>
      </c>
      <c r="C674" s="32" t="s">
        <v>2922</v>
      </c>
      <c r="D674" t="s">
        <v>4436</v>
      </c>
      <c r="E674" s="54">
        <v>4229.78</v>
      </c>
      <c r="F674" s="54">
        <v>4889.1000000000004</v>
      </c>
      <c r="G674" s="54">
        <v>6598.05</v>
      </c>
      <c r="H674" s="54">
        <v>3870.86</v>
      </c>
      <c r="I674" t="s">
        <v>2877</v>
      </c>
      <c r="J674" s="31">
        <v>4889.1000000000004</v>
      </c>
      <c r="K674" s="36" t="s">
        <v>2675</v>
      </c>
      <c r="L674" t="s">
        <v>2502</v>
      </c>
      <c r="M674" t="s">
        <v>4437</v>
      </c>
      <c r="N674" t="s">
        <v>1345</v>
      </c>
      <c r="O674" t="s">
        <v>67</v>
      </c>
      <c r="Q674" s="23">
        <v>46281.554620682873</v>
      </c>
      <c r="R674" s="32">
        <f>IF(OR(tbl_de_massas[[#This Row],[dia_vencimento]]="", tbl_de_massas[[#This Row],[dia_vencimento]]="--"), "", WORKDAY(tbl_de_massas[[#This Row],[dia_vencimento]], 5))</f>
        <v>6</v>
      </c>
    </row>
    <row r="675" spans="1:18" x14ac:dyDescent="0.25">
      <c r="A675" t="s">
        <v>4438</v>
      </c>
      <c r="B675" t="s">
        <v>4439</v>
      </c>
      <c r="C675" s="32" t="s">
        <v>2924</v>
      </c>
      <c r="D675" t="s">
        <v>4440</v>
      </c>
      <c r="E675" s="54">
        <v>1436.12</v>
      </c>
      <c r="F675" s="54">
        <v>0</v>
      </c>
      <c r="G675" s="54">
        <v>18802.89</v>
      </c>
      <c r="H675" s="54">
        <v>0</v>
      </c>
      <c r="I675" t="s">
        <v>2881</v>
      </c>
      <c r="J675" s="31">
        <v>680.49</v>
      </c>
      <c r="K675" s="36" t="s">
        <v>1306</v>
      </c>
      <c r="L675" t="s">
        <v>2504</v>
      </c>
      <c r="M675" t="s">
        <v>4441</v>
      </c>
      <c r="N675" t="s">
        <v>1345</v>
      </c>
      <c r="O675" t="s">
        <v>67</v>
      </c>
      <c r="Q675" s="23">
        <v>46281.554623194446</v>
      </c>
      <c r="R675" s="32">
        <f>IF(OR(tbl_de_massas[[#This Row],[dia_vencimento]]="", tbl_de_massas[[#This Row],[dia_vencimento]]="--"), "", WORKDAY(tbl_de_massas[[#This Row],[dia_vencimento]], 5))</f>
        <v>26</v>
      </c>
    </row>
    <row r="676" spans="1:18" x14ac:dyDescent="0.25">
      <c r="A676" t="s">
        <v>4442</v>
      </c>
      <c r="B676" t="s">
        <v>4443</v>
      </c>
      <c r="C676" s="32" t="s">
        <v>611</v>
      </c>
      <c r="D676" t="s">
        <v>4444</v>
      </c>
      <c r="E676" s="54">
        <v>12973.93</v>
      </c>
      <c r="F676" s="54">
        <v>0</v>
      </c>
      <c r="G676" s="54">
        <v>6479.61</v>
      </c>
      <c r="H676" s="54">
        <v>0</v>
      </c>
      <c r="I676" t="s">
        <v>2881</v>
      </c>
      <c r="J676" s="31">
        <v>691.76</v>
      </c>
      <c r="K676" s="36" t="s">
        <v>1306</v>
      </c>
      <c r="L676" t="s">
        <v>2504</v>
      </c>
      <c r="M676" t="s">
        <v>4445</v>
      </c>
      <c r="N676" t="s">
        <v>1341</v>
      </c>
      <c r="O676" t="s">
        <v>67</v>
      </c>
      <c r="Q676" s="23">
        <v>46281.554625509256</v>
      </c>
      <c r="R676" s="32">
        <f>IF(OR(tbl_de_massas[[#This Row],[dia_vencimento]]="", tbl_de_massas[[#This Row],[dia_vencimento]]="--"), "", WORKDAY(tbl_de_massas[[#This Row],[dia_vencimento]], 5))</f>
        <v>32</v>
      </c>
    </row>
    <row r="677" spans="1:18" x14ac:dyDescent="0.25">
      <c r="A677" t="s">
        <v>4446</v>
      </c>
      <c r="B677" t="s">
        <v>4447</v>
      </c>
      <c r="C677" s="32" t="s">
        <v>5835</v>
      </c>
      <c r="D677" t="s">
        <v>4448</v>
      </c>
      <c r="E677" s="54">
        <v>6362.69</v>
      </c>
      <c r="F677" s="54">
        <v>345.02</v>
      </c>
      <c r="G677" s="54">
        <v>13625.25</v>
      </c>
      <c r="H677" s="54">
        <v>0</v>
      </c>
      <c r="I677" t="s">
        <v>2881</v>
      </c>
      <c r="J677" s="31">
        <v>776.29</v>
      </c>
      <c r="K677" s="36" t="s">
        <v>1306</v>
      </c>
      <c r="L677" t="s">
        <v>2504</v>
      </c>
      <c r="M677" t="s">
        <v>4449</v>
      </c>
      <c r="N677" t="s">
        <v>1341</v>
      </c>
      <c r="O677" t="s">
        <v>4450</v>
      </c>
      <c r="P677" t="s">
        <v>1341</v>
      </c>
      <c r="Q677" s="23">
        <v>46281.554627395832</v>
      </c>
      <c r="R677" s="32">
        <f>IF(OR(tbl_de_massas[[#This Row],[dia_vencimento]]="", tbl_de_massas[[#This Row],[dia_vencimento]]="--"), "", WORKDAY(tbl_de_massas[[#This Row],[dia_vencimento]], 5))</f>
        <v>25</v>
      </c>
    </row>
    <row r="678" spans="1:18" x14ac:dyDescent="0.25">
      <c r="A678" t="s">
        <v>4451</v>
      </c>
      <c r="B678" t="s">
        <v>4452</v>
      </c>
      <c r="C678" s="32" t="s">
        <v>2925</v>
      </c>
      <c r="D678" t="s">
        <v>4453</v>
      </c>
      <c r="E678" s="54">
        <v>7634.31</v>
      </c>
      <c r="F678" s="54">
        <v>4683.6000000000004</v>
      </c>
      <c r="G678" s="54">
        <v>15676.6</v>
      </c>
      <c r="H678" s="54">
        <v>3870.86</v>
      </c>
      <c r="I678" t="s">
        <v>2877</v>
      </c>
      <c r="J678" s="31">
        <v>4683.6000000000004</v>
      </c>
      <c r="K678" s="36" t="s">
        <v>2675</v>
      </c>
      <c r="L678" t="s">
        <v>2502</v>
      </c>
      <c r="M678" t="s">
        <v>4454</v>
      </c>
      <c r="N678" t="s">
        <v>1341</v>
      </c>
      <c r="O678" t="s">
        <v>4455</v>
      </c>
      <c r="P678" t="s">
        <v>1341</v>
      </c>
      <c r="Q678" s="23">
        <v>46281.554629537037</v>
      </c>
      <c r="R678" s="32">
        <f>IF(OR(tbl_de_massas[[#This Row],[dia_vencimento]]="", tbl_de_massas[[#This Row],[dia_vencimento]]="--"), "", WORKDAY(tbl_de_massas[[#This Row],[dia_vencimento]], 5))</f>
        <v>24</v>
      </c>
    </row>
    <row r="679" spans="1:18" x14ac:dyDescent="0.25">
      <c r="A679" t="s">
        <v>4456</v>
      </c>
      <c r="B679" t="s">
        <v>4457</v>
      </c>
      <c r="C679" s="32" t="s">
        <v>5831</v>
      </c>
      <c r="D679" t="s">
        <v>4458</v>
      </c>
      <c r="E679" s="54">
        <v>1379.19</v>
      </c>
      <c r="F679" s="54">
        <v>4697.72</v>
      </c>
      <c r="G679" s="54">
        <v>7402.4</v>
      </c>
      <c r="H679" s="54">
        <v>3870.86</v>
      </c>
      <c r="I679" t="s">
        <v>2877</v>
      </c>
      <c r="J679" s="31">
        <v>4697.72</v>
      </c>
      <c r="K679" s="36" t="s">
        <v>2675</v>
      </c>
      <c r="L679" t="s">
        <v>2502</v>
      </c>
      <c r="M679" t="s">
        <v>67</v>
      </c>
      <c r="O679" t="s">
        <v>4459</v>
      </c>
      <c r="P679" t="s">
        <v>1341</v>
      </c>
      <c r="Q679" s="23">
        <v>46281.554631747684</v>
      </c>
      <c r="R679" s="32">
        <f>IF(OR(tbl_de_massas[[#This Row],[dia_vencimento]]="", tbl_de_massas[[#This Row],[dia_vencimento]]="--"), "", WORKDAY(tbl_de_massas[[#This Row],[dia_vencimento]], 5))</f>
        <v>16</v>
      </c>
    </row>
    <row r="680" spans="1:18" x14ac:dyDescent="0.25">
      <c r="A680" t="s">
        <v>4460</v>
      </c>
      <c r="B680" t="s">
        <v>4461</v>
      </c>
      <c r="C680" s="32" t="s">
        <v>5831</v>
      </c>
      <c r="D680" t="s">
        <v>4462</v>
      </c>
      <c r="E680" s="54">
        <v>6491.52</v>
      </c>
      <c r="F680" s="54">
        <v>5009.8900000000003</v>
      </c>
      <c r="G680" s="54">
        <v>5759.13</v>
      </c>
      <c r="H680" s="54">
        <v>3870.86</v>
      </c>
      <c r="I680" t="s">
        <v>2877</v>
      </c>
      <c r="J680" s="31">
        <v>5009.8900000000003</v>
      </c>
      <c r="K680" s="36" t="s">
        <v>2675</v>
      </c>
      <c r="L680" t="s">
        <v>2502</v>
      </c>
      <c r="M680" t="s">
        <v>4463</v>
      </c>
      <c r="N680" t="s">
        <v>1345</v>
      </c>
      <c r="O680" t="s">
        <v>67</v>
      </c>
      <c r="Q680" s="23">
        <v>46281.554633715277</v>
      </c>
      <c r="R680" s="32">
        <f>IF(OR(tbl_de_massas[[#This Row],[dia_vencimento]]="", tbl_de_massas[[#This Row],[dia_vencimento]]="--"), "", WORKDAY(tbl_de_massas[[#This Row],[dia_vencimento]], 5))</f>
        <v>16</v>
      </c>
    </row>
    <row r="681" spans="1:18" x14ac:dyDescent="0.25">
      <c r="A681" t="s">
        <v>4464</v>
      </c>
      <c r="B681" t="s">
        <v>4465</v>
      </c>
      <c r="C681" s="32" t="s">
        <v>2675</v>
      </c>
      <c r="D681" t="s">
        <v>4466</v>
      </c>
      <c r="E681" s="54">
        <v>3865.06</v>
      </c>
      <c r="F681" s="54">
        <v>4812.5</v>
      </c>
      <c r="G681" s="54">
        <v>10414.530000000001</v>
      </c>
      <c r="H681" s="54">
        <v>3870.86</v>
      </c>
      <c r="I681" t="s">
        <v>2877</v>
      </c>
      <c r="J681" s="31">
        <v>4812.5</v>
      </c>
      <c r="K681" s="36" t="s">
        <v>2675</v>
      </c>
      <c r="L681" t="s">
        <v>2502</v>
      </c>
      <c r="M681" t="s">
        <v>4467</v>
      </c>
      <c r="N681" t="s">
        <v>1341</v>
      </c>
      <c r="O681" t="s">
        <v>67</v>
      </c>
      <c r="Q681" s="23">
        <v>46281.554635983797</v>
      </c>
      <c r="R681" s="32">
        <f>IF(OR(tbl_de_massas[[#This Row],[dia_vencimento]]="", tbl_de_massas[[#This Row],[dia_vencimento]]="--"), "", WORKDAY(tbl_de_massas[[#This Row],[dia_vencimento]], 5))</f>
        <v>23</v>
      </c>
    </row>
    <row r="682" spans="1:18" x14ac:dyDescent="0.25">
      <c r="A682" t="s">
        <v>4468</v>
      </c>
      <c r="B682" t="s">
        <v>4469</v>
      </c>
      <c r="C682" s="32" t="s">
        <v>2921</v>
      </c>
      <c r="D682" t="s">
        <v>4470</v>
      </c>
      <c r="E682" s="54">
        <v>3620.57</v>
      </c>
      <c r="F682" s="54">
        <v>4739.09</v>
      </c>
      <c r="G682" s="54">
        <v>13449.29</v>
      </c>
      <c r="H682" s="54">
        <v>3870.86</v>
      </c>
      <c r="I682" t="s">
        <v>2877</v>
      </c>
      <c r="J682" s="31">
        <v>4739.09</v>
      </c>
      <c r="K682" s="36" t="s">
        <v>2675</v>
      </c>
      <c r="L682" t="s">
        <v>2502</v>
      </c>
      <c r="M682" t="s">
        <v>67</v>
      </c>
      <c r="O682" t="s">
        <v>4471</v>
      </c>
      <c r="P682" t="s">
        <v>1345</v>
      </c>
      <c r="Q682" s="23">
        <v>46281.554638125002</v>
      </c>
      <c r="R682" s="32">
        <f>IF(OR(tbl_de_massas[[#This Row],[dia_vencimento]]="", tbl_de_massas[[#This Row],[dia_vencimento]]="--"), "", WORKDAY(tbl_de_massas[[#This Row],[dia_vencimento]], 5))</f>
        <v>13</v>
      </c>
    </row>
    <row r="683" spans="1:18" x14ac:dyDescent="0.25">
      <c r="A683" t="s">
        <v>4472</v>
      </c>
      <c r="B683" t="s">
        <v>4473</v>
      </c>
      <c r="C683" s="32" t="s">
        <v>5832</v>
      </c>
      <c r="D683" t="s">
        <v>4474</v>
      </c>
      <c r="E683" s="54">
        <v>688.59</v>
      </c>
      <c r="F683" s="54">
        <v>0</v>
      </c>
      <c r="G683" s="54">
        <v>12599.86</v>
      </c>
      <c r="H683" s="54">
        <v>0</v>
      </c>
      <c r="I683" t="s">
        <v>2881</v>
      </c>
      <c r="J683" s="31">
        <v>738.08</v>
      </c>
      <c r="K683" s="36" t="s">
        <v>1306</v>
      </c>
      <c r="L683" t="s">
        <v>2504</v>
      </c>
      <c r="M683" t="s">
        <v>67</v>
      </c>
      <c r="O683" t="s">
        <v>4475</v>
      </c>
      <c r="P683" t="s">
        <v>1341</v>
      </c>
      <c r="Q683" s="23">
        <v>46281.554640092596</v>
      </c>
      <c r="R683" s="32">
        <f>IF(OR(tbl_de_massas[[#This Row],[dia_vencimento]]="", tbl_de_massas[[#This Row],[dia_vencimento]]="--"), "", WORKDAY(tbl_de_massas[[#This Row],[dia_vencimento]], 5))</f>
        <v>27</v>
      </c>
    </row>
    <row r="684" spans="1:18" x14ac:dyDescent="0.25">
      <c r="A684" t="s">
        <v>4476</v>
      </c>
      <c r="B684" t="s">
        <v>4477</v>
      </c>
      <c r="C684" s="32" t="s">
        <v>2361</v>
      </c>
      <c r="D684" t="s">
        <v>4478</v>
      </c>
      <c r="E684" s="54">
        <v>7953.29</v>
      </c>
      <c r="F684" s="54">
        <v>988.73</v>
      </c>
      <c r="G684" s="54">
        <v>18719.55</v>
      </c>
      <c r="H684" s="54">
        <v>0</v>
      </c>
      <c r="I684" t="s">
        <v>2881</v>
      </c>
      <c r="J684" s="31">
        <v>988.73</v>
      </c>
      <c r="K684" s="36" t="s">
        <v>1306</v>
      </c>
      <c r="L684" t="s">
        <v>2504</v>
      </c>
      <c r="M684" t="s">
        <v>67</v>
      </c>
      <c r="O684" t="s">
        <v>4479</v>
      </c>
      <c r="P684" t="s">
        <v>1341</v>
      </c>
      <c r="Q684" s="23">
        <v>46281.554641898147</v>
      </c>
      <c r="R684" s="32">
        <f>IF(OR(tbl_de_massas[[#This Row],[dia_vencimento]]="", tbl_de_massas[[#This Row],[dia_vencimento]]="--"), "", WORKDAY(tbl_de_massas[[#This Row],[dia_vencimento]], 5))</f>
        <v>20</v>
      </c>
    </row>
    <row r="685" spans="1:18" x14ac:dyDescent="0.25">
      <c r="A685" t="s">
        <v>4480</v>
      </c>
      <c r="B685" t="s">
        <v>4481</v>
      </c>
      <c r="C685" s="32" t="s">
        <v>2924</v>
      </c>
      <c r="D685" t="s">
        <v>4482</v>
      </c>
      <c r="E685" s="54">
        <v>9329.69</v>
      </c>
      <c r="F685" s="54">
        <v>4620.9399999999996</v>
      </c>
      <c r="G685" s="54">
        <v>11935.94</v>
      </c>
      <c r="H685" s="54">
        <v>3870.86</v>
      </c>
      <c r="I685" t="s">
        <v>2877</v>
      </c>
      <c r="J685" s="31">
        <v>4620.9399999999996</v>
      </c>
      <c r="K685" s="36" t="s">
        <v>2675</v>
      </c>
      <c r="L685" t="s">
        <v>2502</v>
      </c>
      <c r="M685" t="s">
        <v>67</v>
      </c>
      <c r="O685" t="s">
        <v>4483</v>
      </c>
      <c r="P685" t="s">
        <v>1341</v>
      </c>
      <c r="Q685" s="23">
        <v>46281.554643564814</v>
      </c>
      <c r="R685" s="32">
        <f>IF(OR(tbl_de_massas[[#This Row],[dia_vencimento]]="", tbl_de_massas[[#This Row],[dia_vencimento]]="--"), "", WORKDAY(tbl_de_massas[[#This Row],[dia_vencimento]], 5))</f>
        <v>26</v>
      </c>
    </row>
    <row r="686" spans="1:18" x14ac:dyDescent="0.25">
      <c r="A686" t="s">
        <v>4484</v>
      </c>
      <c r="B686" t="s">
        <v>4485</v>
      </c>
      <c r="C686" s="32" t="s">
        <v>2361</v>
      </c>
      <c r="D686" t="s">
        <v>4486</v>
      </c>
      <c r="E686" s="54">
        <v>14893.83</v>
      </c>
      <c r="F686" s="54">
        <v>4608.08</v>
      </c>
      <c r="G686" s="54">
        <v>12633.23</v>
      </c>
      <c r="H686" s="54">
        <v>3870.86</v>
      </c>
      <c r="I686" t="s">
        <v>2877</v>
      </c>
      <c r="J686" s="31">
        <v>4608.08</v>
      </c>
      <c r="K686" s="36" t="s">
        <v>2675</v>
      </c>
      <c r="L686" t="s">
        <v>2502</v>
      </c>
      <c r="M686" t="s">
        <v>67</v>
      </c>
      <c r="O686" t="s">
        <v>4487</v>
      </c>
      <c r="P686" t="s">
        <v>1341</v>
      </c>
      <c r="Q686" s="23">
        <v>46281.554645486111</v>
      </c>
      <c r="R686" s="32">
        <f>IF(OR(tbl_de_massas[[#This Row],[dia_vencimento]]="", tbl_de_massas[[#This Row],[dia_vencimento]]="--"), "", WORKDAY(tbl_de_massas[[#This Row],[dia_vencimento]], 5))</f>
        <v>20</v>
      </c>
    </row>
    <row r="687" spans="1:18" x14ac:dyDescent="0.25">
      <c r="A687" t="s">
        <v>4488</v>
      </c>
      <c r="B687" t="s">
        <v>4489</v>
      </c>
      <c r="C687" s="32" t="s">
        <v>2360</v>
      </c>
      <c r="D687" t="s">
        <v>4490</v>
      </c>
      <c r="E687" s="54">
        <v>7411.84</v>
      </c>
      <c r="F687" s="54">
        <v>908.75</v>
      </c>
      <c r="G687" s="54">
        <v>4734.6099999999997</v>
      </c>
      <c r="H687" s="54">
        <v>0</v>
      </c>
      <c r="I687" t="s">
        <v>2881</v>
      </c>
      <c r="J687" s="31">
        <v>908.75</v>
      </c>
      <c r="K687" s="36" t="s">
        <v>1306</v>
      </c>
      <c r="L687" t="s">
        <v>2504</v>
      </c>
      <c r="M687" t="s">
        <v>67</v>
      </c>
      <c r="O687" t="s">
        <v>4491</v>
      </c>
      <c r="P687" t="s">
        <v>1341</v>
      </c>
      <c r="Q687" s="23">
        <v>46281.554647592595</v>
      </c>
      <c r="R687" s="32">
        <f>IF(OR(tbl_de_massas[[#This Row],[dia_vencimento]]="", tbl_de_massas[[#This Row],[dia_vencimento]]="--"), "", WORKDAY(tbl_de_massas[[#This Row],[dia_vencimento]], 5))</f>
        <v>19</v>
      </c>
    </row>
    <row r="688" spans="1:18" x14ac:dyDescent="0.25">
      <c r="A688" t="s">
        <v>4492</v>
      </c>
      <c r="B688" t="s">
        <v>4493</v>
      </c>
      <c r="C688" s="32" t="s">
        <v>2918</v>
      </c>
      <c r="D688" t="s">
        <v>4279</v>
      </c>
      <c r="E688" s="54">
        <v>3759.73</v>
      </c>
      <c r="F688" s="54">
        <v>4854.51</v>
      </c>
      <c r="G688" s="54">
        <v>12184.57</v>
      </c>
      <c r="H688" s="54">
        <v>3870.86</v>
      </c>
      <c r="I688" t="s">
        <v>2877</v>
      </c>
      <c r="J688" s="31">
        <v>4854.51</v>
      </c>
      <c r="K688" s="36" t="s">
        <v>2675</v>
      </c>
      <c r="L688" t="s">
        <v>2502</v>
      </c>
      <c r="M688" t="s">
        <v>67</v>
      </c>
      <c r="O688" t="s">
        <v>4494</v>
      </c>
      <c r="P688" t="s">
        <v>1341</v>
      </c>
      <c r="Q688" s="23">
        <v>46281.554649328704</v>
      </c>
      <c r="R688" s="32">
        <f>IF(OR(tbl_de_massas[[#This Row],[dia_vencimento]]="", tbl_de_massas[[#This Row],[dia_vencimento]]="--"), "", WORKDAY(tbl_de_massas[[#This Row],[dia_vencimento]], 5))</f>
        <v>34</v>
      </c>
    </row>
    <row r="689" spans="1:18" x14ac:dyDescent="0.25">
      <c r="A689" t="s">
        <v>4495</v>
      </c>
      <c r="B689" t="s">
        <v>4496</v>
      </c>
      <c r="C689" s="32" t="s">
        <v>608</v>
      </c>
      <c r="D689" t="s">
        <v>4497</v>
      </c>
      <c r="E689" s="54">
        <v>6482.85</v>
      </c>
      <c r="F689" s="54">
        <v>4904.3100000000004</v>
      </c>
      <c r="G689" s="54">
        <v>8124.01</v>
      </c>
      <c r="H689" s="54">
        <v>3870.86</v>
      </c>
      <c r="I689" t="s">
        <v>2877</v>
      </c>
      <c r="J689" s="31">
        <v>4904.3100000000004</v>
      </c>
      <c r="K689" s="36" t="s">
        <v>2675</v>
      </c>
      <c r="L689" t="s">
        <v>2502</v>
      </c>
      <c r="M689" t="s">
        <v>67</v>
      </c>
      <c r="O689" t="s">
        <v>4498</v>
      </c>
      <c r="P689" t="s">
        <v>1345</v>
      </c>
      <c r="Q689" s="23">
        <v>46281.55465150463</v>
      </c>
      <c r="R689" s="32">
        <f>IF(OR(tbl_de_massas[[#This Row],[dia_vencimento]]="", tbl_de_massas[[#This Row],[dia_vencimento]]="--"), "", WORKDAY(tbl_de_massas[[#This Row],[dia_vencimento]], 5))</f>
        <v>27</v>
      </c>
    </row>
    <row r="690" spans="1:18" x14ac:dyDescent="0.25">
      <c r="A690" t="s">
        <v>4499</v>
      </c>
      <c r="B690" t="s">
        <v>4500</v>
      </c>
      <c r="C690" s="32" t="s">
        <v>2360</v>
      </c>
      <c r="D690" t="s">
        <v>4501</v>
      </c>
      <c r="E690" s="54">
        <v>8293.52</v>
      </c>
      <c r="F690" s="54">
        <v>4726.55</v>
      </c>
      <c r="G690" s="54">
        <v>6766.3</v>
      </c>
      <c r="H690" s="54">
        <v>3870.86</v>
      </c>
      <c r="I690" t="s">
        <v>2877</v>
      </c>
      <c r="J690" s="31">
        <v>4726.55</v>
      </c>
      <c r="K690" s="36" t="s">
        <v>2675</v>
      </c>
      <c r="L690" t="s">
        <v>2502</v>
      </c>
      <c r="M690" t="s">
        <v>4502</v>
      </c>
      <c r="N690" t="s">
        <v>1341</v>
      </c>
      <c r="O690" t="s">
        <v>67</v>
      </c>
      <c r="Q690" s="23">
        <v>46281.55465366898</v>
      </c>
      <c r="R690" s="32">
        <f>IF(OR(tbl_de_massas[[#This Row],[dia_vencimento]]="", tbl_de_massas[[#This Row],[dia_vencimento]]="--"), "", WORKDAY(tbl_de_massas[[#This Row],[dia_vencimento]], 5))</f>
        <v>19</v>
      </c>
    </row>
    <row r="691" spans="1:18" x14ac:dyDescent="0.25">
      <c r="A691" t="s">
        <v>4503</v>
      </c>
      <c r="B691" t="s">
        <v>4504</v>
      </c>
      <c r="C691" s="32" t="s">
        <v>2346</v>
      </c>
      <c r="D691" t="s">
        <v>4505</v>
      </c>
      <c r="E691" s="54">
        <v>10611.97</v>
      </c>
      <c r="F691" s="54">
        <v>567.77</v>
      </c>
      <c r="G691" s="54">
        <v>6483.65</v>
      </c>
      <c r="H691" s="54">
        <v>0</v>
      </c>
      <c r="I691" t="s">
        <v>2881</v>
      </c>
      <c r="J691" s="31">
        <v>567.77</v>
      </c>
      <c r="K691" s="36" t="s">
        <v>1306</v>
      </c>
      <c r="L691" t="s">
        <v>2504</v>
      </c>
      <c r="M691" t="s">
        <v>4506</v>
      </c>
      <c r="N691" t="s">
        <v>1341</v>
      </c>
      <c r="O691" t="s">
        <v>67</v>
      </c>
      <c r="Q691" s="23">
        <v>46281.554655624997</v>
      </c>
      <c r="R691" s="32">
        <f>IF(OR(tbl_de_massas[[#This Row],[dia_vencimento]]="", tbl_de_massas[[#This Row],[dia_vencimento]]="--"), "", WORKDAY(tbl_de_massas[[#This Row],[dia_vencimento]], 5))</f>
        <v>18</v>
      </c>
    </row>
    <row r="692" spans="1:18" x14ac:dyDescent="0.25">
      <c r="A692" t="s">
        <v>4507</v>
      </c>
      <c r="B692" t="s">
        <v>4508</v>
      </c>
      <c r="C692" s="32" t="s">
        <v>5830</v>
      </c>
      <c r="D692" t="s">
        <v>4509</v>
      </c>
      <c r="E692" s="54">
        <v>5632.39</v>
      </c>
      <c r="F692" s="54">
        <v>4844.43</v>
      </c>
      <c r="G692" s="54">
        <v>-1150.8599999999999</v>
      </c>
      <c r="H692" s="54">
        <v>3870.86</v>
      </c>
      <c r="I692" t="s">
        <v>2877</v>
      </c>
      <c r="J692" s="31">
        <v>4844.43</v>
      </c>
      <c r="K692" s="36" t="s">
        <v>2675</v>
      </c>
      <c r="L692" t="s">
        <v>2502</v>
      </c>
      <c r="M692" t="s">
        <v>67</v>
      </c>
      <c r="O692" t="s">
        <v>4510</v>
      </c>
      <c r="P692" t="s">
        <v>1341</v>
      </c>
      <c r="Q692" s="23">
        <v>46281.555351469906</v>
      </c>
      <c r="R692" s="32">
        <f>IF(OR(tbl_de_massas[[#This Row],[dia_vencimento]]="", tbl_de_massas[[#This Row],[dia_vencimento]]="--"), "", WORKDAY(tbl_de_massas[[#This Row],[dia_vencimento]], 5))</f>
        <v>13</v>
      </c>
    </row>
    <row r="693" spans="1:18" x14ac:dyDescent="0.25">
      <c r="A693" t="s">
        <v>4511</v>
      </c>
      <c r="B693" t="s">
        <v>4512</v>
      </c>
      <c r="C693" s="32" t="s">
        <v>5830</v>
      </c>
      <c r="D693" t="s">
        <v>4513</v>
      </c>
      <c r="E693" s="54">
        <v>4868.1499999999996</v>
      </c>
      <c r="F693" s="54">
        <v>4841.2299999999996</v>
      </c>
      <c r="G693" s="54">
        <v>11987.35</v>
      </c>
      <c r="H693" s="54">
        <v>3870.86</v>
      </c>
      <c r="I693" t="s">
        <v>2877</v>
      </c>
      <c r="J693" s="31">
        <v>4841.2299999999996</v>
      </c>
      <c r="K693" s="36" t="s">
        <v>2675</v>
      </c>
      <c r="L693" t="s">
        <v>2502</v>
      </c>
      <c r="M693" t="s">
        <v>4514</v>
      </c>
      <c r="N693" t="s">
        <v>1345</v>
      </c>
      <c r="O693" t="s">
        <v>4515</v>
      </c>
      <c r="P693" t="s">
        <v>1345</v>
      </c>
      <c r="Q693" s="23">
        <v>46281.555353946758</v>
      </c>
      <c r="R693" s="32">
        <f>IF(OR(tbl_de_massas[[#This Row],[dia_vencimento]]="", tbl_de_massas[[#This Row],[dia_vencimento]]="--"), "", WORKDAY(tbl_de_massas[[#This Row],[dia_vencimento]], 5))</f>
        <v>13</v>
      </c>
    </row>
    <row r="694" spans="1:18" x14ac:dyDescent="0.25">
      <c r="A694" t="s">
        <v>4516</v>
      </c>
      <c r="B694" t="s">
        <v>4517</v>
      </c>
      <c r="C694" s="32" t="s">
        <v>608</v>
      </c>
      <c r="D694" t="s">
        <v>4518</v>
      </c>
      <c r="E694" s="54">
        <v>8065.64</v>
      </c>
      <c r="F694" s="54">
        <v>4743.6899999999996</v>
      </c>
      <c r="G694" s="54">
        <v>10275.790000000001</v>
      </c>
      <c r="H694" s="54">
        <v>3870.86</v>
      </c>
      <c r="I694" t="s">
        <v>2877</v>
      </c>
      <c r="J694" s="31">
        <v>4743.6899999999996</v>
      </c>
      <c r="K694" s="36" t="s">
        <v>2675</v>
      </c>
      <c r="L694" t="s">
        <v>2502</v>
      </c>
      <c r="M694" t="s">
        <v>4519</v>
      </c>
      <c r="N694" t="s">
        <v>1341</v>
      </c>
      <c r="O694" t="s">
        <v>4520</v>
      </c>
      <c r="P694" t="s">
        <v>1341</v>
      </c>
      <c r="Q694" s="23">
        <v>46281.555356458332</v>
      </c>
      <c r="R694" s="32">
        <f>IF(OR(tbl_de_massas[[#This Row],[dia_vencimento]]="", tbl_de_massas[[#This Row],[dia_vencimento]]="--"), "", WORKDAY(tbl_de_massas[[#This Row],[dia_vencimento]], 5))</f>
        <v>27</v>
      </c>
    </row>
    <row r="695" spans="1:18" x14ac:dyDescent="0.25">
      <c r="A695" t="s">
        <v>4521</v>
      </c>
      <c r="B695" t="s">
        <v>4522</v>
      </c>
      <c r="C695" s="32" t="s">
        <v>5837</v>
      </c>
      <c r="D695" t="s">
        <v>4523</v>
      </c>
      <c r="E695" s="54">
        <v>13992.36</v>
      </c>
      <c r="F695" s="54">
        <v>4874.99</v>
      </c>
      <c r="G695" s="54">
        <v>12461.05</v>
      </c>
      <c r="H695" s="54">
        <v>3870.86</v>
      </c>
      <c r="I695" t="s">
        <v>2877</v>
      </c>
      <c r="J695" s="31">
        <v>4874.99</v>
      </c>
      <c r="K695" s="36" t="s">
        <v>2675</v>
      </c>
      <c r="L695" t="s">
        <v>2502</v>
      </c>
      <c r="M695" t="s">
        <v>4524</v>
      </c>
      <c r="N695" t="s">
        <v>1341</v>
      </c>
      <c r="O695" t="s">
        <v>4525</v>
      </c>
      <c r="P695" t="s">
        <v>1341</v>
      </c>
      <c r="Q695" s="23">
        <v>46281.555359166668</v>
      </c>
      <c r="R695" s="32">
        <f>IF(OR(tbl_de_massas[[#This Row],[dia_vencimento]]="", tbl_de_massas[[#This Row],[dia_vencimento]]="--"), "", WORKDAY(tbl_de_massas[[#This Row],[dia_vencimento]], 5))</f>
        <v>9</v>
      </c>
    </row>
    <row r="696" spans="1:18" x14ac:dyDescent="0.25">
      <c r="A696" t="s">
        <v>4526</v>
      </c>
      <c r="B696" t="s">
        <v>4527</v>
      </c>
      <c r="C696" s="32" t="s">
        <v>5832</v>
      </c>
      <c r="D696" t="s">
        <v>4528</v>
      </c>
      <c r="E696" s="54">
        <v>13303.7</v>
      </c>
      <c r="F696" s="54">
        <v>0</v>
      </c>
      <c r="G696" s="54">
        <v>8589.89</v>
      </c>
      <c r="H696" s="54">
        <v>0</v>
      </c>
      <c r="I696" t="s">
        <v>2881</v>
      </c>
      <c r="J696" s="31">
        <v>411.81</v>
      </c>
      <c r="K696" s="36" t="s">
        <v>1306</v>
      </c>
      <c r="L696" t="s">
        <v>2504</v>
      </c>
      <c r="M696" t="s">
        <v>67</v>
      </c>
      <c r="O696" t="s">
        <v>4529</v>
      </c>
      <c r="P696" t="s">
        <v>1341</v>
      </c>
      <c r="Q696" s="23">
        <v>46281.555361342595</v>
      </c>
      <c r="R696" s="32">
        <f>IF(OR(tbl_de_massas[[#This Row],[dia_vencimento]]="", tbl_de_massas[[#This Row],[dia_vencimento]]="--"), "", WORKDAY(tbl_de_massas[[#This Row],[dia_vencimento]], 5))</f>
        <v>27</v>
      </c>
    </row>
    <row r="697" spans="1:18" x14ac:dyDescent="0.25">
      <c r="A697" t="s">
        <v>4530</v>
      </c>
      <c r="B697" t="s">
        <v>4531</v>
      </c>
      <c r="C697" s="32" t="s">
        <v>5837</v>
      </c>
      <c r="D697" t="s">
        <v>4532</v>
      </c>
      <c r="E697" s="54">
        <v>10442.76</v>
      </c>
      <c r="F697" s="54">
        <v>4916.43</v>
      </c>
      <c r="G697" s="54">
        <v>14254.34</v>
      </c>
      <c r="H697" s="54">
        <v>3870.86</v>
      </c>
      <c r="I697" t="s">
        <v>2877</v>
      </c>
      <c r="J697" s="31">
        <v>4916.43</v>
      </c>
      <c r="K697" s="36" t="s">
        <v>2675</v>
      </c>
      <c r="L697" t="s">
        <v>2502</v>
      </c>
      <c r="M697" t="s">
        <v>4533</v>
      </c>
      <c r="N697" t="s">
        <v>1341</v>
      </c>
      <c r="O697" t="s">
        <v>4534</v>
      </c>
      <c r="P697" t="s">
        <v>1341</v>
      </c>
      <c r="Q697" s="23">
        <v>46281.555363391206</v>
      </c>
      <c r="R697" s="32">
        <f>IF(OR(tbl_de_massas[[#This Row],[dia_vencimento]]="", tbl_de_massas[[#This Row],[dia_vencimento]]="--"), "", WORKDAY(tbl_de_massas[[#This Row],[dia_vencimento]], 5))</f>
        <v>9</v>
      </c>
    </row>
    <row r="698" spans="1:18" x14ac:dyDescent="0.25">
      <c r="A698" t="s">
        <v>4535</v>
      </c>
      <c r="B698" t="s">
        <v>4536</v>
      </c>
      <c r="C698" s="32" t="s">
        <v>5828</v>
      </c>
      <c r="D698" t="s">
        <v>4537</v>
      </c>
      <c r="E698" s="54">
        <v>13794.84</v>
      </c>
      <c r="F698" s="54">
        <v>4813.74</v>
      </c>
      <c r="G698" s="54">
        <v>-18.22</v>
      </c>
      <c r="H698" s="54">
        <v>3870.86</v>
      </c>
      <c r="I698" t="s">
        <v>2877</v>
      </c>
      <c r="J698" s="31">
        <v>4813.74</v>
      </c>
      <c r="K698" s="36" t="s">
        <v>2675</v>
      </c>
      <c r="L698" t="s">
        <v>2502</v>
      </c>
      <c r="M698" t="s">
        <v>4538</v>
      </c>
      <c r="N698" t="s">
        <v>1341</v>
      </c>
      <c r="O698" t="s">
        <v>67</v>
      </c>
      <c r="Q698" s="23">
        <v>46281.555365787041</v>
      </c>
      <c r="R698" s="32">
        <f>IF(OR(tbl_de_massas[[#This Row],[dia_vencimento]]="", tbl_de_massas[[#This Row],[dia_vencimento]]="--"), "", WORKDAY(tbl_de_massas[[#This Row],[dia_vencimento]], 5))</f>
        <v>33</v>
      </c>
    </row>
    <row r="699" spans="1:18" x14ac:dyDescent="0.25">
      <c r="A699" t="s">
        <v>4539</v>
      </c>
      <c r="B699" t="s">
        <v>4540</v>
      </c>
      <c r="C699" s="32" t="s">
        <v>2922</v>
      </c>
      <c r="D699" t="s">
        <v>4541</v>
      </c>
      <c r="E699" s="54">
        <v>10735.61</v>
      </c>
      <c r="F699" s="54">
        <v>4719.66</v>
      </c>
      <c r="G699" s="54">
        <v>16201.62</v>
      </c>
      <c r="H699" s="54">
        <v>3870.86</v>
      </c>
      <c r="I699" t="s">
        <v>2877</v>
      </c>
      <c r="J699" s="31">
        <v>4719.66</v>
      </c>
      <c r="K699" s="36" t="s">
        <v>2675</v>
      </c>
      <c r="L699" t="s">
        <v>2502</v>
      </c>
      <c r="M699" t="s">
        <v>4542</v>
      </c>
      <c r="N699" t="s">
        <v>1341</v>
      </c>
      <c r="O699" t="s">
        <v>67</v>
      </c>
      <c r="Q699" s="23">
        <v>46281.555368287038</v>
      </c>
      <c r="R699" s="32">
        <f>IF(OR(tbl_de_massas[[#This Row],[dia_vencimento]]="", tbl_de_massas[[#This Row],[dia_vencimento]]="--"), "", WORKDAY(tbl_de_massas[[#This Row],[dia_vencimento]], 5))</f>
        <v>6</v>
      </c>
    </row>
    <row r="700" spans="1:18" x14ac:dyDescent="0.25">
      <c r="A700" t="s">
        <v>4543</v>
      </c>
      <c r="B700" t="s">
        <v>4544</v>
      </c>
      <c r="C700" s="32" t="s">
        <v>2346</v>
      </c>
      <c r="D700" t="s">
        <v>4545</v>
      </c>
      <c r="E700" s="54">
        <v>11683.12</v>
      </c>
      <c r="F700" s="54">
        <v>4834.07</v>
      </c>
      <c r="G700" s="54">
        <v>3129.21</v>
      </c>
      <c r="H700" s="54">
        <v>3870.86</v>
      </c>
      <c r="I700" t="s">
        <v>2877</v>
      </c>
      <c r="J700" s="31">
        <v>4834.07</v>
      </c>
      <c r="K700" s="36" t="s">
        <v>2675</v>
      </c>
      <c r="L700" t="s">
        <v>2502</v>
      </c>
      <c r="M700" t="s">
        <v>4546</v>
      </c>
      <c r="N700" t="s">
        <v>1341</v>
      </c>
      <c r="O700" t="s">
        <v>4547</v>
      </c>
      <c r="P700" t="s">
        <v>1341</v>
      </c>
      <c r="Q700" s="23">
        <v>46281.555370243055</v>
      </c>
      <c r="R700" s="32">
        <f>IF(OR(tbl_de_massas[[#This Row],[dia_vencimento]]="", tbl_de_massas[[#This Row],[dia_vencimento]]="--"), "", WORKDAY(tbl_de_massas[[#This Row],[dia_vencimento]], 5))</f>
        <v>18</v>
      </c>
    </row>
    <row r="701" spans="1:18" x14ac:dyDescent="0.25">
      <c r="A701" t="s">
        <v>4548</v>
      </c>
      <c r="B701" t="s">
        <v>4549</v>
      </c>
      <c r="C701" s="32" t="s">
        <v>5832</v>
      </c>
      <c r="D701" t="s">
        <v>4550</v>
      </c>
      <c r="E701" s="54">
        <v>13350.08</v>
      </c>
      <c r="F701" s="54">
        <v>4670.09</v>
      </c>
      <c r="G701" s="54">
        <v>15530.95</v>
      </c>
      <c r="H701" s="54">
        <v>3870.86</v>
      </c>
      <c r="I701" t="s">
        <v>2877</v>
      </c>
      <c r="J701" s="31">
        <v>4670.09</v>
      </c>
      <c r="K701" s="36" t="s">
        <v>2675</v>
      </c>
      <c r="L701" t="s">
        <v>2502</v>
      </c>
      <c r="M701" t="s">
        <v>4551</v>
      </c>
      <c r="N701" t="s">
        <v>1345</v>
      </c>
      <c r="O701" t="s">
        <v>67</v>
      </c>
      <c r="Q701" s="23">
        <v>46281.555372222225</v>
      </c>
      <c r="R701" s="32">
        <f>IF(OR(tbl_de_massas[[#This Row],[dia_vencimento]]="", tbl_de_massas[[#This Row],[dia_vencimento]]="--"), "", WORKDAY(tbl_de_massas[[#This Row],[dia_vencimento]], 5))</f>
        <v>27</v>
      </c>
    </row>
    <row r="702" spans="1:18" x14ac:dyDescent="0.25">
      <c r="A702" t="s">
        <v>4552</v>
      </c>
      <c r="B702" t="s">
        <v>4553</v>
      </c>
      <c r="C702" s="32" t="s">
        <v>608</v>
      </c>
      <c r="D702" t="s">
        <v>4554</v>
      </c>
      <c r="E702" s="54">
        <v>14617.19</v>
      </c>
      <c r="F702" s="54">
        <v>4958.4799999999996</v>
      </c>
      <c r="G702" s="54">
        <v>12705.19</v>
      </c>
      <c r="H702" s="54">
        <v>3870.86</v>
      </c>
      <c r="I702" t="s">
        <v>2877</v>
      </c>
      <c r="J702" s="31">
        <v>4958.4799999999996</v>
      </c>
      <c r="K702" s="36" t="s">
        <v>2675</v>
      </c>
      <c r="L702" t="s">
        <v>2502</v>
      </c>
      <c r="M702" t="s">
        <v>4555</v>
      </c>
      <c r="N702" t="s">
        <v>1341</v>
      </c>
      <c r="O702" t="s">
        <v>4556</v>
      </c>
      <c r="P702" t="s">
        <v>1341</v>
      </c>
      <c r="Q702" s="23">
        <v>46281.555374374999</v>
      </c>
      <c r="R702" s="32">
        <f>IF(OR(tbl_de_massas[[#This Row],[dia_vencimento]]="", tbl_de_massas[[#This Row],[dia_vencimento]]="--"), "", WORKDAY(tbl_de_massas[[#This Row],[dia_vencimento]], 5))</f>
        <v>27</v>
      </c>
    </row>
    <row r="703" spans="1:18" x14ac:dyDescent="0.25">
      <c r="A703" t="s">
        <v>4557</v>
      </c>
      <c r="B703" t="s">
        <v>4558</v>
      </c>
      <c r="C703" s="32" t="s">
        <v>608</v>
      </c>
      <c r="D703" t="s">
        <v>4559</v>
      </c>
      <c r="E703" s="54">
        <v>10067.44</v>
      </c>
      <c r="F703" s="54">
        <v>5028.72</v>
      </c>
      <c r="G703" s="54">
        <v>14361.52</v>
      </c>
      <c r="H703" s="54">
        <v>3870.86</v>
      </c>
      <c r="I703" t="s">
        <v>2877</v>
      </c>
      <c r="J703" s="31">
        <v>5028.72</v>
      </c>
      <c r="K703" s="36" t="s">
        <v>2675</v>
      </c>
      <c r="L703" t="s">
        <v>2502</v>
      </c>
      <c r="M703" t="s">
        <v>67</v>
      </c>
      <c r="O703" t="s">
        <v>4560</v>
      </c>
      <c r="P703" t="s">
        <v>1341</v>
      </c>
      <c r="Q703" s="23">
        <v>46281.55537652778</v>
      </c>
      <c r="R703" s="32">
        <f>IF(OR(tbl_de_massas[[#This Row],[dia_vencimento]]="", tbl_de_massas[[#This Row],[dia_vencimento]]="--"), "", WORKDAY(tbl_de_massas[[#This Row],[dia_vencimento]], 5))</f>
        <v>27</v>
      </c>
    </row>
    <row r="704" spans="1:18" x14ac:dyDescent="0.25">
      <c r="A704" t="s">
        <v>4561</v>
      </c>
      <c r="B704" t="s">
        <v>4562</v>
      </c>
      <c r="C704" s="32" t="s">
        <v>2924</v>
      </c>
      <c r="D704" t="s">
        <v>4563</v>
      </c>
      <c r="E704" s="54">
        <v>12007.76</v>
      </c>
      <c r="F704" s="54">
        <v>278.75</v>
      </c>
      <c r="G704" s="54">
        <v>18863.75</v>
      </c>
      <c r="H704" s="54">
        <v>0</v>
      </c>
      <c r="I704" t="s">
        <v>2881</v>
      </c>
      <c r="J704" s="31">
        <v>627.19000000000005</v>
      </c>
      <c r="K704" s="36" t="s">
        <v>1306</v>
      </c>
      <c r="L704" t="s">
        <v>2504</v>
      </c>
      <c r="M704" t="s">
        <v>67</v>
      </c>
      <c r="O704" t="s">
        <v>4564</v>
      </c>
      <c r="P704" t="s">
        <v>1341</v>
      </c>
      <c r="Q704" s="23">
        <v>46281.555378773148</v>
      </c>
      <c r="R704" s="32">
        <f>IF(OR(tbl_de_massas[[#This Row],[dia_vencimento]]="", tbl_de_massas[[#This Row],[dia_vencimento]]="--"), "", WORKDAY(tbl_de_massas[[#This Row],[dia_vencimento]], 5))</f>
        <v>26</v>
      </c>
    </row>
    <row r="705" spans="1:18" x14ac:dyDescent="0.25">
      <c r="A705" t="s">
        <v>4565</v>
      </c>
      <c r="B705" t="s">
        <v>4566</v>
      </c>
      <c r="C705" s="32" t="s">
        <v>605</v>
      </c>
      <c r="D705" t="s">
        <v>4567</v>
      </c>
      <c r="E705" s="54">
        <v>5696.92</v>
      </c>
      <c r="F705" s="54">
        <v>702.52</v>
      </c>
      <c r="G705" s="54">
        <v>20064.29</v>
      </c>
      <c r="H705" s="54">
        <v>0</v>
      </c>
      <c r="I705" t="s">
        <v>2881</v>
      </c>
      <c r="J705" s="31">
        <v>702.52</v>
      </c>
      <c r="K705" s="36" t="s">
        <v>1306</v>
      </c>
      <c r="L705" t="s">
        <v>2504</v>
      </c>
      <c r="M705" t="s">
        <v>4568</v>
      </c>
      <c r="N705" t="s">
        <v>1341</v>
      </c>
      <c r="O705" t="s">
        <v>67</v>
      </c>
      <c r="Q705" s="23">
        <v>46281.555380590275</v>
      </c>
      <c r="R705" s="32">
        <f>IF(OR(tbl_de_massas[[#This Row],[dia_vencimento]]="", tbl_de_massas[[#This Row],[dia_vencimento]]="--"), "", WORKDAY(tbl_de_massas[[#This Row],[dia_vencimento]], 5))</f>
        <v>17</v>
      </c>
    </row>
    <row r="706" spans="1:18" x14ac:dyDescent="0.25">
      <c r="A706" t="s">
        <v>4569</v>
      </c>
      <c r="B706" t="s">
        <v>4570</v>
      </c>
      <c r="C706" s="32" t="s">
        <v>5838</v>
      </c>
      <c r="D706" t="s">
        <v>4571</v>
      </c>
      <c r="E706" s="54">
        <v>10472.81</v>
      </c>
      <c r="F706" s="54">
        <v>5002.68</v>
      </c>
      <c r="G706" s="54">
        <v>16580.07</v>
      </c>
      <c r="H706" s="54">
        <v>3870.86</v>
      </c>
      <c r="I706" t="s">
        <v>2877</v>
      </c>
      <c r="J706" s="31">
        <v>5002.68</v>
      </c>
      <c r="K706" s="36" t="s">
        <v>2675</v>
      </c>
      <c r="L706" t="s">
        <v>2502</v>
      </c>
      <c r="M706" t="s">
        <v>4572</v>
      </c>
      <c r="N706" t="s">
        <v>1341</v>
      </c>
      <c r="O706" t="s">
        <v>67</v>
      </c>
      <c r="Q706" s="23">
        <v>46281.555382314815</v>
      </c>
      <c r="R706" s="32">
        <f>IF(OR(tbl_de_massas[[#This Row],[dia_vencimento]]="", tbl_de_massas[[#This Row],[dia_vencimento]]="--"), "", WORKDAY(tbl_de_massas[[#This Row],[dia_vencimento]], 5))</f>
        <v>11</v>
      </c>
    </row>
    <row r="707" spans="1:18" x14ac:dyDescent="0.25">
      <c r="A707" t="s">
        <v>4573</v>
      </c>
      <c r="B707" t="s">
        <v>4574</v>
      </c>
      <c r="C707" s="32" t="s">
        <v>2360</v>
      </c>
      <c r="D707" t="s">
        <v>4575</v>
      </c>
      <c r="E707" s="54">
        <v>6364.44</v>
      </c>
      <c r="F707" s="54">
        <v>4626.5600000000004</v>
      </c>
      <c r="G707" s="54">
        <v>3256.4</v>
      </c>
      <c r="H707" s="54">
        <v>3870.86</v>
      </c>
      <c r="I707" t="s">
        <v>2877</v>
      </c>
      <c r="J707" s="31">
        <v>4626.5600000000004</v>
      </c>
      <c r="K707" s="36" t="s">
        <v>2675</v>
      </c>
      <c r="L707" t="s">
        <v>2502</v>
      </c>
      <c r="M707" t="s">
        <v>4576</v>
      </c>
      <c r="N707" t="s">
        <v>1341</v>
      </c>
      <c r="O707" t="s">
        <v>4577</v>
      </c>
      <c r="P707" t="s">
        <v>1341</v>
      </c>
      <c r="Q707" s="23">
        <v>46281.555384317129</v>
      </c>
      <c r="R707" s="32">
        <f>IF(OR(tbl_de_massas[[#This Row],[dia_vencimento]]="", tbl_de_massas[[#This Row],[dia_vencimento]]="--"), "", WORKDAY(tbl_de_massas[[#This Row],[dia_vencimento]], 5))</f>
        <v>19</v>
      </c>
    </row>
    <row r="708" spans="1:18" x14ac:dyDescent="0.25">
      <c r="A708" t="s">
        <v>4578</v>
      </c>
      <c r="B708" t="s">
        <v>4579</v>
      </c>
      <c r="C708" s="32" t="s">
        <v>5837</v>
      </c>
      <c r="D708" t="s">
        <v>4580</v>
      </c>
      <c r="E708" s="54">
        <v>2724.23</v>
      </c>
      <c r="F708" s="54">
        <v>923.59</v>
      </c>
      <c r="G708" s="54">
        <v>14485.64</v>
      </c>
      <c r="H708" s="54">
        <v>0</v>
      </c>
      <c r="I708" t="s">
        <v>2881</v>
      </c>
      <c r="J708" s="31">
        <v>923.59</v>
      </c>
      <c r="K708" s="36" t="s">
        <v>1306</v>
      </c>
      <c r="L708" t="s">
        <v>2504</v>
      </c>
      <c r="M708" t="s">
        <v>4581</v>
      </c>
      <c r="N708" t="s">
        <v>1341</v>
      </c>
      <c r="O708" t="s">
        <v>4582</v>
      </c>
      <c r="P708" t="s">
        <v>1341</v>
      </c>
      <c r="Q708" s="23">
        <v>46281.555386388885</v>
      </c>
      <c r="R708" s="32">
        <f>IF(OR(tbl_de_massas[[#This Row],[dia_vencimento]]="", tbl_de_massas[[#This Row],[dia_vencimento]]="--"), "", WORKDAY(tbl_de_massas[[#This Row],[dia_vencimento]], 5))</f>
        <v>9</v>
      </c>
    </row>
    <row r="709" spans="1:18" x14ac:dyDescent="0.25">
      <c r="A709" t="s">
        <v>4583</v>
      </c>
      <c r="B709" t="s">
        <v>4584</v>
      </c>
      <c r="C709" s="32" t="s">
        <v>5828</v>
      </c>
      <c r="D709" t="s">
        <v>4585</v>
      </c>
      <c r="E709" s="54">
        <v>10306.83</v>
      </c>
      <c r="F709" s="54">
        <v>0</v>
      </c>
      <c r="G709" s="54">
        <v>8829.92</v>
      </c>
      <c r="H709" s="54">
        <v>0</v>
      </c>
      <c r="I709" t="s">
        <v>2881</v>
      </c>
      <c r="J709" s="31">
        <v>702.79</v>
      </c>
      <c r="K709" s="36" t="s">
        <v>1306</v>
      </c>
      <c r="L709" t="s">
        <v>2504</v>
      </c>
      <c r="M709" t="s">
        <v>4586</v>
      </c>
      <c r="N709" t="s">
        <v>1341</v>
      </c>
      <c r="O709" t="s">
        <v>67</v>
      </c>
      <c r="Q709" s="23">
        <v>46281.555388356479</v>
      </c>
      <c r="R709" s="32">
        <f>IF(OR(tbl_de_massas[[#This Row],[dia_vencimento]]="", tbl_de_massas[[#This Row],[dia_vencimento]]="--"), "", WORKDAY(tbl_de_massas[[#This Row],[dia_vencimento]], 5))</f>
        <v>33</v>
      </c>
    </row>
    <row r="710" spans="1:18" x14ac:dyDescent="0.25">
      <c r="A710" t="s">
        <v>4587</v>
      </c>
      <c r="B710" t="s">
        <v>4588</v>
      </c>
      <c r="C710" s="32" t="s">
        <v>2921</v>
      </c>
      <c r="D710" t="s">
        <v>4589</v>
      </c>
      <c r="E710" s="54">
        <v>7368.65</v>
      </c>
      <c r="F710" s="54">
        <v>4740.97</v>
      </c>
      <c r="G710" s="54">
        <v>12047.48</v>
      </c>
      <c r="H710" s="54">
        <v>3870.86</v>
      </c>
      <c r="I710" t="s">
        <v>2877</v>
      </c>
      <c r="J710" s="31">
        <v>4740.97</v>
      </c>
      <c r="K710" s="36" t="s">
        <v>2675</v>
      </c>
      <c r="L710" t="s">
        <v>2502</v>
      </c>
      <c r="M710" t="s">
        <v>4590</v>
      </c>
      <c r="N710" t="s">
        <v>1341</v>
      </c>
      <c r="O710" t="s">
        <v>67</v>
      </c>
      <c r="Q710" s="23">
        <v>46281.55539011574</v>
      </c>
      <c r="R710" s="32">
        <f>IF(OR(tbl_de_massas[[#This Row],[dia_vencimento]]="", tbl_de_massas[[#This Row],[dia_vencimento]]="--"), "", WORKDAY(tbl_de_massas[[#This Row],[dia_vencimento]], 5))</f>
        <v>13</v>
      </c>
    </row>
    <row r="711" spans="1:18" x14ac:dyDescent="0.25">
      <c r="A711" t="s">
        <v>4591</v>
      </c>
      <c r="B711" t="s">
        <v>4592</v>
      </c>
      <c r="C711" s="32" t="s">
        <v>608</v>
      </c>
      <c r="D711" t="s">
        <v>4593</v>
      </c>
      <c r="E711" s="54">
        <v>6125.34</v>
      </c>
      <c r="F711" s="54">
        <v>4654.25</v>
      </c>
      <c r="G711" s="54">
        <v>3076.85</v>
      </c>
      <c r="H711" s="54">
        <v>3870.86</v>
      </c>
      <c r="I711" t="s">
        <v>2877</v>
      </c>
      <c r="J711" s="31">
        <v>4654.25</v>
      </c>
      <c r="K711" s="36" t="s">
        <v>2675</v>
      </c>
      <c r="L711" t="s">
        <v>2502</v>
      </c>
      <c r="M711" t="s">
        <v>4594</v>
      </c>
      <c r="N711" t="s">
        <v>1341</v>
      </c>
      <c r="O711" t="s">
        <v>4595</v>
      </c>
      <c r="P711" t="s">
        <v>1341</v>
      </c>
      <c r="Q711" s="23">
        <v>46281.555392407405</v>
      </c>
      <c r="R711" s="32">
        <f>IF(OR(tbl_de_massas[[#This Row],[dia_vencimento]]="", tbl_de_massas[[#This Row],[dia_vencimento]]="--"), "", WORKDAY(tbl_de_massas[[#This Row],[dia_vencimento]], 5))</f>
        <v>27</v>
      </c>
    </row>
    <row r="712" spans="1:18" x14ac:dyDescent="0.25">
      <c r="A712" t="s">
        <v>4596</v>
      </c>
      <c r="B712" t="s">
        <v>4597</v>
      </c>
      <c r="C712" s="32" t="s">
        <v>5827</v>
      </c>
      <c r="D712" t="s">
        <v>4598</v>
      </c>
      <c r="E712" s="54">
        <v>9451.23</v>
      </c>
      <c r="F712" s="54">
        <v>4779.57</v>
      </c>
      <c r="G712" s="54">
        <v>7879.77</v>
      </c>
      <c r="H712" s="54">
        <v>3870.86</v>
      </c>
      <c r="I712" t="s">
        <v>2877</v>
      </c>
      <c r="J712" s="31">
        <v>4779.57</v>
      </c>
      <c r="K712" s="36" t="s">
        <v>2675</v>
      </c>
      <c r="L712" t="s">
        <v>2502</v>
      </c>
      <c r="M712" t="s">
        <v>67</v>
      </c>
      <c r="O712" t="s">
        <v>4599</v>
      </c>
      <c r="P712" t="s">
        <v>1341</v>
      </c>
      <c r="Q712" s="23">
        <v>46281.555394444447</v>
      </c>
      <c r="R712" s="32">
        <f>IF(OR(tbl_de_massas[[#This Row],[dia_vencimento]]="", tbl_de_massas[[#This Row],[dia_vencimento]]="--"), "", WORKDAY(tbl_de_massas[[#This Row],[dia_vencimento]], 5))</f>
        <v>12</v>
      </c>
    </row>
    <row r="713" spans="1:18" x14ac:dyDescent="0.25">
      <c r="A713" t="s">
        <v>4600</v>
      </c>
      <c r="B713" t="s">
        <v>4601</v>
      </c>
      <c r="C713" s="32" t="s">
        <v>5834</v>
      </c>
      <c r="D713" t="s">
        <v>4602</v>
      </c>
      <c r="E713" s="54">
        <v>15044.12</v>
      </c>
      <c r="F713" s="54">
        <v>4983.76</v>
      </c>
      <c r="G713" s="54">
        <v>15852.5</v>
      </c>
      <c r="H713" s="54">
        <v>3870.86</v>
      </c>
      <c r="I713" t="s">
        <v>2877</v>
      </c>
      <c r="J713" s="31">
        <v>4983.76</v>
      </c>
      <c r="K713" s="36" t="s">
        <v>2675</v>
      </c>
      <c r="L713" t="s">
        <v>2502</v>
      </c>
      <c r="M713" t="s">
        <v>4603</v>
      </c>
      <c r="N713" t="s">
        <v>1341</v>
      </c>
      <c r="O713" t="s">
        <v>67</v>
      </c>
      <c r="Q713" s="23">
        <v>46281.555396539348</v>
      </c>
      <c r="R713" s="32">
        <f>IF(OR(tbl_de_massas[[#This Row],[dia_vencimento]]="", tbl_de_massas[[#This Row],[dia_vencimento]]="--"), "", WORKDAY(tbl_de_massas[[#This Row],[dia_vencimento]], 5))</f>
        <v>10</v>
      </c>
    </row>
    <row r="714" spans="1:18" x14ac:dyDescent="0.25">
      <c r="A714" t="s">
        <v>4604</v>
      </c>
      <c r="B714" t="s">
        <v>4605</v>
      </c>
      <c r="C714" s="32" t="s">
        <v>5838</v>
      </c>
      <c r="D714" t="s">
        <v>4606</v>
      </c>
      <c r="E714" s="54">
        <v>2250.08</v>
      </c>
      <c r="F714" s="54">
        <v>710.22</v>
      </c>
      <c r="G714" s="54">
        <v>16821.27</v>
      </c>
      <c r="H714" s="54">
        <v>0</v>
      </c>
      <c r="I714" t="s">
        <v>2881</v>
      </c>
      <c r="J714" s="31">
        <v>710.22</v>
      </c>
      <c r="K714" s="36" t="s">
        <v>1306</v>
      </c>
      <c r="L714" t="s">
        <v>2504</v>
      </c>
      <c r="M714" t="s">
        <v>4607</v>
      </c>
      <c r="N714" t="s">
        <v>1341</v>
      </c>
      <c r="O714" t="s">
        <v>67</v>
      </c>
      <c r="Q714" s="23">
        <v>46281.55539854167</v>
      </c>
      <c r="R714" s="32">
        <f>IF(OR(tbl_de_massas[[#This Row],[dia_vencimento]]="", tbl_de_massas[[#This Row],[dia_vencimento]]="--"), "", WORKDAY(tbl_de_massas[[#This Row],[dia_vencimento]], 5))</f>
        <v>11</v>
      </c>
    </row>
    <row r="715" spans="1:18" x14ac:dyDescent="0.25">
      <c r="A715" t="s">
        <v>4608</v>
      </c>
      <c r="B715" t="s">
        <v>4609</v>
      </c>
      <c r="C715" s="32" t="s">
        <v>5835</v>
      </c>
      <c r="D715" t="s">
        <v>4610</v>
      </c>
      <c r="E715" s="54">
        <v>14978.59</v>
      </c>
      <c r="F715" s="54">
        <v>0</v>
      </c>
      <c r="G715" s="54">
        <v>5924.79</v>
      </c>
      <c r="H715" s="54">
        <v>0</v>
      </c>
      <c r="I715" t="s">
        <v>2881</v>
      </c>
      <c r="J715" s="31">
        <v>836.75</v>
      </c>
      <c r="K715" s="36" t="s">
        <v>1306</v>
      </c>
      <c r="L715" t="s">
        <v>2504</v>
      </c>
      <c r="M715" t="s">
        <v>4611</v>
      </c>
      <c r="N715" t="s">
        <v>1341</v>
      </c>
      <c r="O715" t="s">
        <v>4612</v>
      </c>
      <c r="P715" t="s">
        <v>1341</v>
      </c>
      <c r="Q715" s="23">
        <v>46281.55540016204</v>
      </c>
      <c r="R715" s="32">
        <f>IF(OR(tbl_de_massas[[#This Row],[dia_vencimento]]="", tbl_de_massas[[#This Row],[dia_vencimento]]="--"), "", WORKDAY(tbl_de_massas[[#This Row],[dia_vencimento]], 5))</f>
        <v>25</v>
      </c>
    </row>
    <row r="716" spans="1:18" x14ac:dyDescent="0.25">
      <c r="A716" t="s">
        <v>4613</v>
      </c>
      <c r="B716" t="s">
        <v>4614</v>
      </c>
      <c r="C716" s="32" t="s">
        <v>2918</v>
      </c>
      <c r="D716" t="s">
        <v>4615</v>
      </c>
      <c r="E716" s="54">
        <v>14027.93</v>
      </c>
      <c r="F716" s="54">
        <v>0</v>
      </c>
      <c r="G716" s="54">
        <v>5061.55</v>
      </c>
      <c r="H716" s="54">
        <v>0</v>
      </c>
      <c r="I716" t="s">
        <v>2881</v>
      </c>
      <c r="J716" s="31">
        <v>783.97</v>
      </c>
      <c r="K716" s="36" t="s">
        <v>1306</v>
      </c>
      <c r="L716" t="s">
        <v>2504</v>
      </c>
      <c r="M716" t="s">
        <v>4616</v>
      </c>
      <c r="N716" t="s">
        <v>1341</v>
      </c>
      <c r="O716" t="s">
        <v>4617</v>
      </c>
      <c r="P716" t="s">
        <v>1341</v>
      </c>
      <c r="Q716" s="23">
        <v>46281.555401990743</v>
      </c>
      <c r="R716" s="32">
        <f>IF(OR(tbl_de_massas[[#This Row],[dia_vencimento]]="", tbl_de_massas[[#This Row],[dia_vencimento]]="--"), "", WORKDAY(tbl_de_massas[[#This Row],[dia_vencimento]], 5))</f>
        <v>34</v>
      </c>
    </row>
    <row r="717" spans="1:18" x14ac:dyDescent="0.25">
      <c r="A717" t="s">
        <v>4618</v>
      </c>
      <c r="B717" t="s">
        <v>4619</v>
      </c>
      <c r="C717" s="32" t="s">
        <v>2362</v>
      </c>
      <c r="D717" t="s">
        <v>4620</v>
      </c>
      <c r="E717" s="54">
        <v>11386.63</v>
      </c>
      <c r="F717" s="54">
        <v>4766.2299999999996</v>
      </c>
      <c r="G717" s="54">
        <v>5678.87</v>
      </c>
      <c r="H717" s="54">
        <v>3870.86</v>
      </c>
      <c r="I717" t="s">
        <v>2877</v>
      </c>
      <c r="J717" s="31">
        <v>4766.2299999999996</v>
      </c>
      <c r="K717" s="36" t="s">
        <v>2675</v>
      </c>
      <c r="L717" t="s">
        <v>2502</v>
      </c>
      <c r="M717" t="s">
        <v>4621</v>
      </c>
      <c r="N717" t="s">
        <v>1345</v>
      </c>
      <c r="O717" t="s">
        <v>67</v>
      </c>
      <c r="Q717" s="23">
        <v>46281.555403923609</v>
      </c>
      <c r="R717" s="32">
        <f>IF(OR(tbl_de_massas[[#This Row],[dia_vencimento]]="", tbl_de_massas[[#This Row],[dia_vencimento]]="--"), "", WORKDAY(tbl_de_massas[[#This Row],[dia_vencimento]], 5))</f>
        <v>20</v>
      </c>
    </row>
    <row r="718" spans="1:18" x14ac:dyDescent="0.25">
      <c r="A718" t="s">
        <v>4622</v>
      </c>
      <c r="B718" t="s">
        <v>4623</v>
      </c>
      <c r="C718" s="32" t="s">
        <v>5833</v>
      </c>
      <c r="D718" t="s">
        <v>4624</v>
      </c>
      <c r="E718" s="54">
        <v>12192.06</v>
      </c>
      <c r="F718" s="54">
        <v>4696.3100000000004</v>
      </c>
      <c r="G718" s="54">
        <v>6480.73</v>
      </c>
      <c r="H718" s="54">
        <v>3870.86</v>
      </c>
      <c r="I718" t="s">
        <v>2877</v>
      </c>
      <c r="J718" s="31">
        <v>4696.3100000000004</v>
      </c>
      <c r="K718" s="36" t="s">
        <v>2675</v>
      </c>
      <c r="L718" t="s">
        <v>2502</v>
      </c>
      <c r="M718" t="s">
        <v>67</v>
      </c>
      <c r="O718" t="s">
        <v>4625</v>
      </c>
      <c r="P718" t="s">
        <v>1341</v>
      </c>
      <c r="Q718" s="23">
        <v>46281.555405960651</v>
      </c>
      <c r="R718" s="32">
        <f>IF(OR(tbl_de_massas[[#This Row],[dia_vencimento]]="", tbl_de_massas[[#This Row],[dia_vencimento]]="--"), "", WORKDAY(tbl_de_massas[[#This Row],[dia_vencimento]], 5))</f>
        <v>13</v>
      </c>
    </row>
    <row r="719" spans="1:18" x14ac:dyDescent="0.25">
      <c r="A719" t="s">
        <v>4626</v>
      </c>
      <c r="B719" t="s">
        <v>4627</v>
      </c>
      <c r="C719" s="32" t="s">
        <v>5836</v>
      </c>
      <c r="D719" t="s">
        <v>4628</v>
      </c>
      <c r="E719" s="54">
        <v>11228.16</v>
      </c>
      <c r="F719" s="54">
        <v>0</v>
      </c>
      <c r="G719" s="54">
        <v>9350.16</v>
      </c>
      <c r="H719" s="54">
        <v>0</v>
      </c>
      <c r="I719" t="s">
        <v>2881</v>
      </c>
      <c r="J719" s="31">
        <v>453.64</v>
      </c>
      <c r="K719" s="36" t="s">
        <v>1306</v>
      </c>
      <c r="L719" t="s">
        <v>2504</v>
      </c>
      <c r="M719" t="s">
        <v>4629</v>
      </c>
      <c r="N719" t="s">
        <v>1341</v>
      </c>
      <c r="O719" t="s">
        <v>67</v>
      </c>
      <c r="Q719" s="23">
        <v>46281.555408055552</v>
      </c>
      <c r="R719" s="32">
        <f>IF(OR(tbl_de_massas[[#This Row],[dia_vencimento]]="", tbl_de_massas[[#This Row],[dia_vencimento]]="--"), "", WORKDAY(tbl_de_massas[[#This Row],[dia_vencimento]], 5))</f>
        <v>34</v>
      </c>
    </row>
    <row r="720" spans="1:18" x14ac:dyDescent="0.25">
      <c r="A720" t="s">
        <v>4630</v>
      </c>
      <c r="B720" t="s">
        <v>4631</v>
      </c>
      <c r="C720" s="32" t="s">
        <v>2918</v>
      </c>
      <c r="D720" t="s">
        <v>4632</v>
      </c>
      <c r="E720" s="54">
        <v>14917.45</v>
      </c>
      <c r="F720" s="54">
        <v>4837.54</v>
      </c>
      <c r="G720" s="54">
        <v>15942.47</v>
      </c>
      <c r="H720" s="54">
        <v>3870.86</v>
      </c>
      <c r="I720" t="s">
        <v>2877</v>
      </c>
      <c r="J720" s="31">
        <v>4837.54</v>
      </c>
      <c r="K720" s="36" t="s">
        <v>2675</v>
      </c>
      <c r="L720" t="s">
        <v>2502</v>
      </c>
      <c r="M720" t="s">
        <v>4633</v>
      </c>
      <c r="N720" t="s">
        <v>1341</v>
      </c>
      <c r="O720" t="s">
        <v>4634</v>
      </c>
      <c r="P720" t="s">
        <v>1341</v>
      </c>
      <c r="Q720" s="23">
        <v>46281.555409837965</v>
      </c>
      <c r="R720" s="32">
        <f>IF(OR(tbl_de_massas[[#This Row],[dia_vencimento]]="", tbl_de_massas[[#This Row],[dia_vencimento]]="--"), "", WORKDAY(tbl_de_massas[[#This Row],[dia_vencimento]], 5))</f>
        <v>34</v>
      </c>
    </row>
    <row r="721" spans="1:18" x14ac:dyDescent="0.25">
      <c r="A721" t="s">
        <v>4635</v>
      </c>
      <c r="B721" t="s">
        <v>4636</v>
      </c>
      <c r="C721" s="32" t="s">
        <v>2922</v>
      </c>
      <c r="D721" t="s">
        <v>4637</v>
      </c>
      <c r="E721" s="54">
        <v>2524.37</v>
      </c>
      <c r="F721" s="54">
        <v>5003.2299999999996</v>
      </c>
      <c r="G721" s="54">
        <v>1716.84</v>
      </c>
      <c r="H721" s="54">
        <v>3870.86</v>
      </c>
      <c r="I721" t="s">
        <v>2877</v>
      </c>
      <c r="J721" s="31">
        <v>5003.2299999999996</v>
      </c>
      <c r="K721" s="36" t="s">
        <v>2675</v>
      </c>
      <c r="L721" t="s">
        <v>2502</v>
      </c>
      <c r="M721" t="s">
        <v>4638</v>
      </c>
      <c r="N721" t="s">
        <v>1345</v>
      </c>
      <c r="O721" t="s">
        <v>4639</v>
      </c>
      <c r="P721" t="s">
        <v>1345</v>
      </c>
      <c r="Q721" s="23">
        <v>46281.555411817128</v>
      </c>
      <c r="R721" s="32">
        <f>IF(OR(tbl_de_massas[[#This Row],[dia_vencimento]]="", tbl_de_massas[[#This Row],[dia_vencimento]]="--"), "", WORKDAY(tbl_de_massas[[#This Row],[dia_vencimento]], 5))</f>
        <v>6</v>
      </c>
    </row>
    <row r="722" spans="1:18" x14ac:dyDescent="0.25">
      <c r="A722" t="s">
        <v>4640</v>
      </c>
      <c r="B722" t="s">
        <v>4641</v>
      </c>
      <c r="C722" s="32" t="s">
        <v>605</v>
      </c>
      <c r="D722" t="s">
        <v>4642</v>
      </c>
      <c r="E722" s="54">
        <v>6089.21</v>
      </c>
      <c r="F722" s="54">
        <v>5035.97</v>
      </c>
      <c r="G722" s="54">
        <v>753.44</v>
      </c>
      <c r="H722" s="54">
        <v>3870.86</v>
      </c>
      <c r="I722" t="s">
        <v>2877</v>
      </c>
      <c r="J722" s="31">
        <v>5035.97</v>
      </c>
      <c r="K722" s="36" t="s">
        <v>2675</v>
      </c>
      <c r="L722" t="s">
        <v>2502</v>
      </c>
      <c r="M722" t="s">
        <v>4643</v>
      </c>
      <c r="N722" t="s">
        <v>1341</v>
      </c>
      <c r="O722" t="s">
        <v>4644</v>
      </c>
      <c r="P722" t="s">
        <v>1341</v>
      </c>
      <c r="Q722" s="23">
        <v>46281.556623796299</v>
      </c>
      <c r="R722" s="32">
        <f>IF(OR(tbl_de_massas[[#This Row],[dia_vencimento]]="", tbl_de_massas[[#This Row],[dia_vencimento]]="--"), "", WORKDAY(tbl_de_massas[[#This Row],[dia_vencimento]], 5))</f>
        <v>17</v>
      </c>
    </row>
    <row r="723" spans="1:18" x14ac:dyDescent="0.25">
      <c r="A723" t="s">
        <v>4645</v>
      </c>
      <c r="B723" t="s">
        <v>4646</v>
      </c>
      <c r="C723" s="32" t="s">
        <v>5830</v>
      </c>
      <c r="D723" t="s">
        <v>4647</v>
      </c>
      <c r="E723" s="54">
        <v>5546.47</v>
      </c>
      <c r="F723" s="54">
        <v>829.96</v>
      </c>
      <c r="G723" s="54">
        <v>3632.05</v>
      </c>
      <c r="H723" s="54">
        <v>0</v>
      </c>
      <c r="I723" t="s">
        <v>2881</v>
      </c>
      <c r="J723" s="31">
        <v>829.96</v>
      </c>
      <c r="K723" s="36" t="s">
        <v>1306</v>
      </c>
      <c r="L723" t="s">
        <v>2504</v>
      </c>
      <c r="M723" t="s">
        <v>67</v>
      </c>
      <c r="O723" t="s">
        <v>4648</v>
      </c>
      <c r="P723" t="s">
        <v>1341</v>
      </c>
      <c r="Q723" s="23">
        <v>46281.556626458332</v>
      </c>
      <c r="R723" s="32">
        <f>IF(OR(tbl_de_massas[[#This Row],[dia_vencimento]]="", tbl_de_massas[[#This Row],[dia_vencimento]]="--"), "", WORKDAY(tbl_de_massas[[#This Row],[dia_vencimento]], 5))</f>
        <v>13</v>
      </c>
    </row>
    <row r="724" spans="1:18" x14ac:dyDescent="0.25">
      <c r="A724" t="s">
        <v>4649</v>
      </c>
      <c r="B724" t="s">
        <v>4650</v>
      </c>
      <c r="C724" s="32" t="s">
        <v>2346</v>
      </c>
      <c r="D724" t="s">
        <v>4651</v>
      </c>
      <c r="E724" s="54">
        <v>12508.29</v>
      </c>
      <c r="F724" s="54">
        <v>5054.33</v>
      </c>
      <c r="G724" s="54">
        <v>3914.71</v>
      </c>
      <c r="H724" s="54">
        <v>3870.86</v>
      </c>
      <c r="I724" t="s">
        <v>2877</v>
      </c>
      <c r="J724" s="31">
        <v>5054.33</v>
      </c>
      <c r="K724" s="36" t="s">
        <v>2675</v>
      </c>
      <c r="L724" t="s">
        <v>2502</v>
      </c>
      <c r="M724" t="s">
        <v>67</v>
      </c>
      <c r="O724" t="s">
        <v>4652</v>
      </c>
      <c r="P724" t="s">
        <v>1345</v>
      </c>
      <c r="Q724" s="23">
        <v>46281.556628668979</v>
      </c>
      <c r="R724" s="32">
        <f>IF(OR(tbl_de_massas[[#This Row],[dia_vencimento]]="", tbl_de_massas[[#This Row],[dia_vencimento]]="--"), "", WORKDAY(tbl_de_massas[[#This Row],[dia_vencimento]], 5))</f>
        <v>18</v>
      </c>
    </row>
    <row r="725" spans="1:18" x14ac:dyDescent="0.25">
      <c r="A725" t="s">
        <v>4653</v>
      </c>
      <c r="B725" t="s">
        <v>4654</v>
      </c>
      <c r="C725" s="32" t="s">
        <v>608</v>
      </c>
      <c r="D725" t="s">
        <v>4655</v>
      </c>
      <c r="E725" s="54">
        <v>8881.11</v>
      </c>
      <c r="F725" s="54">
        <v>4823.18</v>
      </c>
      <c r="G725" s="54">
        <v>11220.28</v>
      </c>
      <c r="H725" s="54">
        <v>3870.86</v>
      </c>
      <c r="I725" t="s">
        <v>2877</v>
      </c>
      <c r="J725" s="31">
        <v>4823.18</v>
      </c>
      <c r="K725" s="36" t="s">
        <v>2675</v>
      </c>
      <c r="L725" t="s">
        <v>2502</v>
      </c>
      <c r="M725" t="s">
        <v>67</v>
      </c>
      <c r="O725" t="s">
        <v>4656</v>
      </c>
      <c r="P725" t="s">
        <v>1345</v>
      </c>
      <c r="Q725" s="23">
        <v>46281.556631388892</v>
      </c>
      <c r="R725" s="32">
        <f>IF(OR(tbl_de_massas[[#This Row],[dia_vencimento]]="", tbl_de_massas[[#This Row],[dia_vencimento]]="--"), "", WORKDAY(tbl_de_massas[[#This Row],[dia_vencimento]], 5))</f>
        <v>27</v>
      </c>
    </row>
    <row r="726" spans="1:18" x14ac:dyDescent="0.25">
      <c r="A726" t="s">
        <v>4657</v>
      </c>
      <c r="B726" t="s">
        <v>4658</v>
      </c>
      <c r="C726" s="32" t="s">
        <v>5831</v>
      </c>
      <c r="D726" t="s">
        <v>4659</v>
      </c>
      <c r="E726" s="54">
        <v>13394.96</v>
      </c>
      <c r="F726" s="54">
        <v>515.49</v>
      </c>
      <c r="G726" s="54">
        <v>6285.13</v>
      </c>
      <c r="H726" s="54">
        <v>0</v>
      </c>
      <c r="I726" t="s">
        <v>2881</v>
      </c>
      <c r="J726" s="31">
        <v>515.49</v>
      </c>
      <c r="K726" s="36" t="s">
        <v>1306</v>
      </c>
      <c r="L726" t="s">
        <v>2504</v>
      </c>
      <c r="M726" t="s">
        <v>4660</v>
      </c>
      <c r="N726" t="s">
        <v>1341</v>
      </c>
      <c r="O726" t="s">
        <v>67</v>
      </c>
      <c r="Q726" s="23">
        <v>46281.556634016204</v>
      </c>
      <c r="R726" s="32">
        <f>IF(OR(tbl_de_massas[[#This Row],[dia_vencimento]]="", tbl_de_massas[[#This Row],[dia_vencimento]]="--"), "", WORKDAY(tbl_de_massas[[#This Row],[dia_vencimento]], 5))</f>
        <v>16</v>
      </c>
    </row>
    <row r="727" spans="1:18" x14ac:dyDescent="0.25">
      <c r="A727" t="s">
        <v>4661</v>
      </c>
      <c r="B727" t="s">
        <v>4662</v>
      </c>
      <c r="C727" s="32" t="s">
        <v>5832</v>
      </c>
      <c r="D727" t="s">
        <v>4663</v>
      </c>
      <c r="E727" s="54">
        <v>1297.6500000000001</v>
      </c>
      <c r="F727" s="54">
        <v>0</v>
      </c>
      <c r="G727" s="54">
        <v>7414.99</v>
      </c>
      <c r="H727" s="54">
        <v>0</v>
      </c>
      <c r="I727" t="s">
        <v>2881</v>
      </c>
      <c r="J727" s="31">
        <v>463.96</v>
      </c>
      <c r="K727" s="36" t="s">
        <v>1306</v>
      </c>
      <c r="L727" t="s">
        <v>2504</v>
      </c>
      <c r="M727" t="s">
        <v>67</v>
      </c>
      <c r="O727" t="s">
        <v>4664</v>
      </c>
      <c r="P727" t="s">
        <v>1341</v>
      </c>
      <c r="Q727" s="23">
        <v>46281.556636064815</v>
      </c>
      <c r="R727" s="32">
        <f>IF(OR(tbl_de_massas[[#This Row],[dia_vencimento]]="", tbl_de_massas[[#This Row],[dia_vencimento]]="--"), "", WORKDAY(tbl_de_massas[[#This Row],[dia_vencimento]], 5))</f>
        <v>27</v>
      </c>
    </row>
    <row r="728" spans="1:18" x14ac:dyDescent="0.25">
      <c r="A728" t="s">
        <v>4665</v>
      </c>
      <c r="B728" t="s">
        <v>4666</v>
      </c>
      <c r="C728" s="32" t="s">
        <v>2918</v>
      </c>
      <c r="D728" t="s">
        <v>4667</v>
      </c>
      <c r="E728" s="54">
        <v>2024.12</v>
      </c>
      <c r="F728" s="54">
        <v>4637.26</v>
      </c>
      <c r="G728" s="54">
        <v>12172.37</v>
      </c>
      <c r="H728" s="54">
        <v>3870.86</v>
      </c>
      <c r="I728" t="s">
        <v>2877</v>
      </c>
      <c r="J728" s="31">
        <v>4637.26</v>
      </c>
      <c r="K728" s="36" t="s">
        <v>2675</v>
      </c>
      <c r="L728" t="s">
        <v>2502</v>
      </c>
      <c r="M728" t="s">
        <v>4668</v>
      </c>
      <c r="N728" t="s">
        <v>1341</v>
      </c>
      <c r="O728" t="s">
        <v>4669</v>
      </c>
      <c r="P728" t="s">
        <v>1341</v>
      </c>
      <c r="Q728" s="23">
        <v>46281.556638333335</v>
      </c>
      <c r="R728" s="32">
        <f>IF(OR(tbl_de_massas[[#This Row],[dia_vencimento]]="", tbl_de_massas[[#This Row],[dia_vencimento]]="--"), "", WORKDAY(tbl_de_massas[[#This Row],[dia_vencimento]], 5))</f>
        <v>34</v>
      </c>
    </row>
    <row r="729" spans="1:18" x14ac:dyDescent="0.25">
      <c r="A729" t="s">
        <v>4670</v>
      </c>
      <c r="B729" t="s">
        <v>4671</v>
      </c>
      <c r="C729" s="32" t="s">
        <v>2921</v>
      </c>
      <c r="D729" t="s">
        <v>4672</v>
      </c>
      <c r="E729" s="54">
        <v>4393.7299999999996</v>
      </c>
      <c r="F729" s="54">
        <v>491.47</v>
      </c>
      <c r="G729" s="54">
        <v>1863.59</v>
      </c>
      <c r="H729" s="54">
        <v>0</v>
      </c>
      <c r="I729" t="s">
        <v>2881</v>
      </c>
      <c r="J729" s="31">
        <v>491.47</v>
      </c>
      <c r="K729" s="36" t="s">
        <v>1306</v>
      </c>
      <c r="L729" t="s">
        <v>2504</v>
      </c>
      <c r="M729" t="s">
        <v>4673</v>
      </c>
      <c r="N729" t="s">
        <v>1341</v>
      </c>
      <c r="O729" t="s">
        <v>4674</v>
      </c>
      <c r="P729" t="s">
        <v>1341</v>
      </c>
      <c r="Q729" s="23">
        <v>46281.556640590279</v>
      </c>
      <c r="R729" s="32">
        <f>IF(OR(tbl_de_massas[[#This Row],[dia_vencimento]]="", tbl_de_massas[[#This Row],[dia_vencimento]]="--"), "", WORKDAY(tbl_de_massas[[#This Row],[dia_vencimento]], 5))</f>
        <v>13</v>
      </c>
    </row>
    <row r="730" spans="1:18" x14ac:dyDescent="0.25">
      <c r="A730" t="s">
        <v>4675</v>
      </c>
      <c r="B730" t="s">
        <v>4676</v>
      </c>
      <c r="C730" s="32" t="s">
        <v>2346</v>
      </c>
      <c r="D730" t="s">
        <v>4677</v>
      </c>
      <c r="E730" s="54">
        <v>11352.68</v>
      </c>
      <c r="F730" s="54">
        <v>513.16</v>
      </c>
      <c r="G730" s="54">
        <v>19568.16</v>
      </c>
      <c r="H730" s="54">
        <v>0</v>
      </c>
      <c r="I730" t="s">
        <v>2881</v>
      </c>
      <c r="J730" s="31">
        <v>513.16</v>
      </c>
      <c r="K730" s="36" t="s">
        <v>1306</v>
      </c>
      <c r="L730" t="s">
        <v>2504</v>
      </c>
      <c r="M730" t="s">
        <v>67</v>
      </c>
      <c r="O730" t="s">
        <v>4678</v>
      </c>
      <c r="P730" t="s">
        <v>1341</v>
      </c>
      <c r="Q730" s="23">
        <v>46281.556642696756</v>
      </c>
      <c r="R730" s="32">
        <f>IF(OR(tbl_de_massas[[#This Row],[dia_vencimento]]="", tbl_de_massas[[#This Row],[dia_vencimento]]="--"), "", WORKDAY(tbl_de_massas[[#This Row],[dia_vencimento]], 5))</f>
        <v>18</v>
      </c>
    </row>
    <row r="731" spans="1:18" x14ac:dyDescent="0.25">
      <c r="A731" t="s">
        <v>4679</v>
      </c>
      <c r="B731" t="s">
        <v>4680</v>
      </c>
      <c r="C731" s="32" t="s">
        <v>2362</v>
      </c>
      <c r="D731" t="s">
        <v>4681</v>
      </c>
      <c r="E731" s="54">
        <v>8280.27</v>
      </c>
      <c r="F731" s="54">
        <v>873.87</v>
      </c>
      <c r="G731" s="54">
        <v>2325.9499999999998</v>
      </c>
      <c r="H731" s="54">
        <v>0</v>
      </c>
      <c r="I731" t="s">
        <v>2881</v>
      </c>
      <c r="J731" s="31">
        <v>873.87</v>
      </c>
      <c r="K731" s="36" t="s">
        <v>1306</v>
      </c>
      <c r="L731" t="s">
        <v>2504</v>
      </c>
      <c r="M731" t="s">
        <v>67</v>
      </c>
      <c r="O731" t="s">
        <v>4682</v>
      </c>
      <c r="P731" t="s">
        <v>1341</v>
      </c>
      <c r="Q731" s="23">
        <v>46281.556644849537</v>
      </c>
      <c r="R731" s="32">
        <f>IF(OR(tbl_de_massas[[#This Row],[dia_vencimento]]="", tbl_de_massas[[#This Row],[dia_vencimento]]="--"), "", WORKDAY(tbl_de_massas[[#This Row],[dia_vencimento]], 5))</f>
        <v>20</v>
      </c>
    </row>
    <row r="732" spans="1:18" x14ac:dyDescent="0.25">
      <c r="A732" t="s">
        <v>4683</v>
      </c>
      <c r="B732" t="s">
        <v>4684</v>
      </c>
      <c r="C732" s="32" t="s">
        <v>5837</v>
      </c>
      <c r="D732" t="s">
        <v>4685</v>
      </c>
      <c r="E732" s="54">
        <v>6160.17</v>
      </c>
      <c r="F732" s="54">
        <v>647.96</v>
      </c>
      <c r="G732" s="54">
        <v>17866.48</v>
      </c>
      <c r="H732" s="54">
        <v>0</v>
      </c>
      <c r="I732" t="s">
        <v>2881</v>
      </c>
      <c r="J732" s="31">
        <v>647.96</v>
      </c>
      <c r="K732" s="36" t="s">
        <v>1306</v>
      </c>
      <c r="L732" t="s">
        <v>2504</v>
      </c>
      <c r="M732" t="s">
        <v>67</v>
      </c>
      <c r="O732" t="s">
        <v>4686</v>
      </c>
      <c r="P732" t="s">
        <v>1341</v>
      </c>
      <c r="Q732" s="23">
        <v>46281.556646770834</v>
      </c>
      <c r="R732" s="32">
        <f>IF(OR(tbl_de_massas[[#This Row],[dia_vencimento]]="", tbl_de_massas[[#This Row],[dia_vencimento]]="--"), "", WORKDAY(tbl_de_massas[[#This Row],[dia_vencimento]], 5))</f>
        <v>9</v>
      </c>
    </row>
    <row r="733" spans="1:18" x14ac:dyDescent="0.25">
      <c r="A733" t="s">
        <v>4687</v>
      </c>
      <c r="B733" t="s">
        <v>4688</v>
      </c>
      <c r="C733" s="32" t="s">
        <v>607</v>
      </c>
      <c r="D733" t="s">
        <v>4689</v>
      </c>
      <c r="E733" s="54">
        <v>11387.74</v>
      </c>
      <c r="F733" s="54">
        <v>419.6</v>
      </c>
      <c r="G733" s="54">
        <v>11286.64</v>
      </c>
      <c r="H733" s="54">
        <v>0</v>
      </c>
      <c r="I733" t="s">
        <v>2881</v>
      </c>
      <c r="J733" s="31">
        <v>755.28</v>
      </c>
      <c r="K733" s="36" t="s">
        <v>1306</v>
      </c>
      <c r="L733" t="s">
        <v>2504</v>
      </c>
      <c r="M733" t="s">
        <v>4690</v>
      </c>
      <c r="N733" t="s">
        <v>1341</v>
      </c>
      <c r="O733" t="s">
        <v>67</v>
      </c>
      <c r="Q733" s="23">
        <v>46281.556648541664</v>
      </c>
      <c r="R733" s="32">
        <f>IF(OR(tbl_de_massas[[#This Row],[dia_vencimento]]="", tbl_de_massas[[#This Row],[dia_vencimento]]="--"), "", WORKDAY(tbl_de_massas[[#This Row],[dia_vencimento]], 5))</f>
        <v>20</v>
      </c>
    </row>
    <row r="734" spans="1:18" x14ac:dyDescent="0.25">
      <c r="A734" t="s">
        <v>4691</v>
      </c>
      <c r="B734" t="s">
        <v>4692</v>
      </c>
      <c r="C734" s="32" t="s">
        <v>5837</v>
      </c>
      <c r="D734" t="s">
        <v>4693</v>
      </c>
      <c r="E734" s="54">
        <v>4492.8100000000004</v>
      </c>
      <c r="F734" s="54">
        <v>436.97</v>
      </c>
      <c r="G734" s="54">
        <v>4322.82</v>
      </c>
      <c r="H734" s="54">
        <v>0</v>
      </c>
      <c r="I734" t="s">
        <v>2881</v>
      </c>
      <c r="J734" s="31">
        <v>436.97</v>
      </c>
      <c r="K734" s="36" t="s">
        <v>1306</v>
      </c>
      <c r="L734" t="s">
        <v>2504</v>
      </c>
      <c r="M734" t="s">
        <v>4694</v>
      </c>
      <c r="N734" t="s">
        <v>1341</v>
      </c>
      <c r="O734" t="s">
        <v>4695</v>
      </c>
      <c r="P734" t="s">
        <v>1341</v>
      </c>
      <c r="Q734" s="23">
        <v>46281.556650462961</v>
      </c>
      <c r="R734" s="32">
        <f>IF(OR(tbl_de_massas[[#This Row],[dia_vencimento]]="", tbl_de_massas[[#This Row],[dia_vencimento]]="--"), "", WORKDAY(tbl_de_massas[[#This Row],[dia_vencimento]], 5))</f>
        <v>9</v>
      </c>
    </row>
    <row r="735" spans="1:18" x14ac:dyDescent="0.25">
      <c r="A735" t="s">
        <v>4696</v>
      </c>
      <c r="B735" t="s">
        <v>4697</v>
      </c>
      <c r="C735" s="32" t="s">
        <v>2922</v>
      </c>
      <c r="D735" t="s">
        <v>4698</v>
      </c>
      <c r="E735" s="54">
        <v>7977.79</v>
      </c>
      <c r="F735" s="54">
        <v>924.48</v>
      </c>
      <c r="G735" s="54">
        <v>1784.81</v>
      </c>
      <c r="H735" s="54">
        <v>0</v>
      </c>
      <c r="I735" t="s">
        <v>2881</v>
      </c>
      <c r="J735" s="31">
        <v>924.48</v>
      </c>
      <c r="K735" s="36" t="s">
        <v>1306</v>
      </c>
      <c r="L735" t="s">
        <v>2504</v>
      </c>
      <c r="M735" t="s">
        <v>67</v>
      </c>
      <c r="O735" t="s">
        <v>4699</v>
      </c>
      <c r="P735" t="s">
        <v>1341</v>
      </c>
      <c r="Q735" s="23">
        <v>46281.556652222222</v>
      </c>
      <c r="R735" s="32">
        <f>IF(OR(tbl_de_massas[[#This Row],[dia_vencimento]]="", tbl_de_massas[[#This Row],[dia_vencimento]]="--"), "", WORKDAY(tbl_de_massas[[#This Row],[dia_vencimento]], 5))</f>
        <v>6</v>
      </c>
    </row>
    <row r="736" spans="1:18" x14ac:dyDescent="0.25">
      <c r="A736" t="s">
        <v>4700</v>
      </c>
      <c r="B736" t="s">
        <v>4701</v>
      </c>
      <c r="C736" s="32" t="s">
        <v>5827</v>
      </c>
      <c r="D736" t="s">
        <v>4702</v>
      </c>
      <c r="E736" s="54">
        <v>2111.02</v>
      </c>
      <c r="F736" s="54">
        <v>988.78</v>
      </c>
      <c r="G736" s="54">
        <v>5790.8</v>
      </c>
      <c r="H736" s="54">
        <v>0</v>
      </c>
      <c r="I736" t="s">
        <v>2881</v>
      </c>
      <c r="J736" s="31">
        <v>988.78</v>
      </c>
      <c r="K736" s="36" t="s">
        <v>1306</v>
      </c>
      <c r="L736" t="s">
        <v>2504</v>
      </c>
      <c r="M736" t="s">
        <v>4703</v>
      </c>
      <c r="N736" t="s">
        <v>1341</v>
      </c>
      <c r="O736" t="s">
        <v>67</v>
      </c>
      <c r="Q736" s="23">
        <v>46281.556653900465</v>
      </c>
      <c r="R736" s="32">
        <f>IF(OR(tbl_de_massas[[#This Row],[dia_vencimento]]="", tbl_de_massas[[#This Row],[dia_vencimento]]="--"), "", WORKDAY(tbl_de_massas[[#This Row],[dia_vencimento]], 5))</f>
        <v>12</v>
      </c>
    </row>
    <row r="737" spans="1:18" x14ac:dyDescent="0.25">
      <c r="A737" t="s">
        <v>4704</v>
      </c>
      <c r="B737" t="s">
        <v>4705</v>
      </c>
      <c r="C737" s="32" t="s">
        <v>607</v>
      </c>
      <c r="D737" t="s">
        <v>4706</v>
      </c>
      <c r="E737" s="54">
        <v>10952.16</v>
      </c>
      <c r="F737" s="54">
        <v>4618.17</v>
      </c>
      <c r="G737" s="54">
        <v>9827.75</v>
      </c>
      <c r="H737" s="54">
        <v>3870.86</v>
      </c>
      <c r="I737" t="s">
        <v>2877</v>
      </c>
      <c r="J737" s="31">
        <v>4618.17</v>
      </c>
      <c r="K737" s="36" t="s">
        <v>2675</v>
      </c>
      <c r="L737" t="s">
        <v>2502</v>
      </c>
      <c r="M737" t="s">
        <v>4707</v>
      </c>
      <c r="N737" t="s">
        <v>1341</v>
      </c>
      <c r="O737" t="s">
        <v>4708</v>
      </c>
      <c r="P737" t="s">
        <v>1341</v>
      </c>
      <c r="Q737" s="23">
        <v>46281.556655891203</v>
      </c>
      <c r="R737" s="32">
        <f>IF(OR(tbl_de_massas[[#This Row],[dia_vencimento]]="", tbl_de_massas[[#This Row],[dia_vencimento]]="--"), "", WORKDAY(tbl_de_massas[[#This Row],[dia_vencimento]], 5))</f>
        <v>20</v>
      </c>
    </row>
    <row r="738" spans="1:18" x14ac:dyDescent="0.25">
      <c r="A738" t="s">
        <v>4709</v>
      </c>
      <c r="B738" t="s">
        <v>4710</v>
      </c>
      <c r="C738" s="32" t="s">
        <v>5837</v>
      </c>
      <c r="D738" t="s">
        <v>4711</v>
      </c>
      <c r="E738" s="54">
        <v>12216.7</v>
      </c>
      <c r="F738" s="54">
        <v>4884.09</v>
      </c>
      <c r="G738" s="54">
        <v>14291.42</v>
      </c>
      <c r="H738" s="54">
        <v>3870.86</v>
      </c>
      <c r="I738" t="s">
        <v>2877</v>
      </c>
      <c r="J738" s="31">
        <v>4884.09</v>
      </c>
      <c r="K738" s="36" t="s">
        <v>2675</v>
      </c>
      <c r="L738" t="s">
        <v>2502</v>
      </c>
      <c r="M738" t="s">
        <v>4712</v>
      </c>
      <c r="N738" t="s">
        <v>1341</v>
      </c>
      <c r="O738" t="s">
        <v>67</v>
      </c>
      <c r="Q738" s="23">
        <v>46281.556658020832</v>
      </c>
      <c r="R738" s="32">
        <f>IF(OR(tbl_de_massas[[#This Row],[dia_vencimento]]="", tbl_de_massas[[#This Row],[dia_vencimento]]="--"), "", WORKDAY(tbl_de_massas[[#This Row],[dia_vencimento]], 5))</f>
        <v>9</v>
      </c>
    </row>
    <row r="739" spans="1:18" x14ac:dyDescent="0.25">
      <c r="A739" t="s">
        <v>4713</v>
      </c>
      <c r="B739" t="s">
        <v>4714</v>
      </c>
      <c r="C739" s="32" t="s">
        <v>5827</v>
      </c>
      <c r="D739" t="s">
        <v>4715</v>
      </c>
      <c r="E739" s="54">
        <v>3381.83</v>
      </c>
      <c r="F739" s="54">
        <v>4732.6000000000004</v>
      </c>
      <c r="G739" s="54">
        <v>6235.28</v>
      </c>
      <c r="H739" s="54">
        <v>3870.86</v>
      </c>
      <c r="I739" t="s">
        <v>2877</v>
      </c>
      <c r="J739" s="31">
        <v>4732.6000000000004</v>
      </c>
      <c r="K739" s="36" t="s">
        <v>2675</v>
      </c>
      <c r="L739" t="s">
        <v>2502</v>
      </c>
      <c r="M739" t="s">
        <v>67</v>
      </c>
      <c r="O739" t="s">
        <v>4716</v>
      </c>
      <c r="P739" t="s">
        <v>1341</v>
      </c>
      <c r="Q739" s="23">
        <v>46281.556659930553</v>
      </c>
      <c r="R739" s="32">
        <f>IF(OR(tbl_de_massas[[#This Row],[dia_vencimento]]="", tbl_de_massas[[#This Row],[dia_vencimento]]="--"), "", WORKDAY(tbl_de_massas[[#This Row],[dia_vencimento]], 5))</f>
        <v>12</v>
      </c>
    </row>
    <row r="740" spans="1:18" x14ac:dyDescent="0.25">
      <c r="A740" t="s">
        <v>4717</v>
      </c>
      <c r="B740" t="s">
        <v>4718</v>
      </c>
      <c r="C740" s="32" t="s">
        <v>5833</v>
      </c>
      <c r="D740" t="s">
        <v>4719</v>
      </c>
      <c r="E740" s="54">
        <v>10600.39</v>
      </c>
      <c r="F740" s="54">
        <v>4700.5600000000004</v>
      </c>
      <c r="G740" s="54">
        <v>16301</v>
      </c>
      <c r="H740" s="54">
        <v>3870.86</v>
      </c>
      <c r="I740" t="s">
        <v>2877</v>
      </c>
      <c r="J740" s="31">
        <v>4700.5600000000004</v>
      </c>
      <c r="K740" s="36" t="s">
        <v>2675</v>
      </c>
      <c r="L740" t="s">
        <v>2502</v>
      </c>
      <c r="M740" t="s">
        <v>4720</v>
      </c>
      <c r="N740" t="s">
        <v>1345</v>
      </c>
      <c r="O740" t="s">
        <v>4721</v>
      </c>
      <c r="P740" t="s">
        <v>1345</v>
      </c>
      <c r="Q740" s="23">
        <v>46281.556662048613</v>
      </c>
      <c r="R740" s="32">
        <f>IF(OR(tbl_de_massas[[#This Row],[dia_vencimento]]="", tbl_de_massas[[#This Row],[dia_vencimento]]="--"), "", WORKDAY(tbl_de_massas[[#This Row],[dia_vencimento]], 5))</f>
        <v>13</v>
      </c>
    </row>
    <row r="741" spans="1:18" x14ac:dyDescent="0.25">
      <c r="A741" t="s">
        <v>4722</v>
      </c>
      <c r="B741" t="s">
        <v>4723</v>
      </c>
      <c r="C741" s="32" t="s">
        <v>2346</v>
      </c>
      <c r="D741" t="s">
        <v>4724</v>
      </c>
      <c r="E741" s="54">
        <v>15372.78</v>
      </c>
      <c r="F741" s="54">
        <v>834.31</v>
      </c>
      <c r="G741" s="54">
        <v>14507.67</v>
      </c>
      <c r="H741" s="54">
        <v>0</v>
      </c>
      <c r="I741" t="s">
        <v>2881</v>
      </c>
      <c r="J741" s="31">
        <v>834.31</v>
      </c>
      <c r="K741" s="36" t="s">
        <v>1306</v>
      </c>
      <c r="L741" t="s">
        <v>2504</v>
      </c>
      <c r="M741" t="s">
        <v>67</v>
      </c>
      <c r="O741" t="s">
        <v>4725</v>
      </c>
      <c r="P741" t="s">
        <v>1341</v>
      </c>
      <c r="Q741" s="23">
        <v>46281.556664178242</v>
      </c>
      <c r="R741" s="32">
        <f>IF(OR(tbl_de_massas[[#This Row],[dia_vencimento]]="", tbl_de_massas[[#This Row],[dia_vencimento]]="--"), "", WORKDAY(tbl_de_massas[[#This Row],[dia_vencimento]], 5))</f>
        <v>18</v>
      </c>
    </row>
    <row r="742" spans="1:18" x14ac:dyDescent="0.25">
      <c r="A742" t="s">
        <v>4726</v>
      </c>
      <c r="B742" t="s">
        <v>4727</v>
      </c>
      <c r="C742" s="32" t="s">
        <v>5829</v>
      </c>
      <c r="D742" t="s">
        <v>4728</v>
      </c>
      <c r="E742" s="54">
        <v>6374.77</v>
      </c>
      <c r="F742" s="54">
        <v>5041.6099999999997</v>
      </c>
      <c r="G742" s="54">
        <v>1849.59</v>
      </c>
      <c r="H742" s="54">
        <v>3870.86</v>
      </c>
      <c r="I742" t="s">
        <v>2877</v>
      </c>
      <c r="J742" s="31">
        <v>5041.6099999999997</v>
      </c>
      <c r="K742" s="36" t="s">
        <v>2675</v>
      </c>
      <c r="L742" t="s">
        <v>2502</v>
      </c>
      <c r="M742" t="s">
        <v>4729</v>
      </c>
      <c r="N742" t="s">
        <v>1341</v>
      </c>
      <c r="O742" t="s">
        <v>67</v>
      </c>
      <c r="Q742" s="23">
        <v>46281.55666584491</v>
      </c>
      <c r="R742" s="32">
        <f>IF(OR(tbl_de_massas[[#This Row],[dia_vencimento]]="", tbl_de_massas[[#This Row],[dia_vencimento]]="--"), "", WORKDAY(tbl_de_massas[[#This Row],[dia_vencimento]], 5))</f>
        <v>30</v>
      </c>
    </row>
    <row r="743" spans="1:18" x14ac:dyDescent="0.25">
      <c r="A743" t="s">
        <v>4730</v>
      </c>
      <c r="B743" t="s">
        <v>4731</v>
      </c>
      <c r="C743" s="32" t="s">
        <v>2361</v>
      </c>
      <c r="D743" t="s">
        <v>4732</v>
      </c>
      <c r="E743" s="54">
        <v>5277.39</v>
      </c>
      <c r="F743" s="54">
        <v>707.21</v>
      </c>
      <c r="G743" s="54">
        <v>5966.76</v>
      </c>
      <c r="H743" s="54">
        <v>0</v>
      </c>
      <c r="I743" t="s">
        <v>2881</v>
      </c>
      <c r="J743" s="31">
        <v>707.21</v>
      </c>
      <c r="K743" s="36" t="s">
        <v>1306</v>
      </c>
      <c r="L743" t="s">
        <v>2504</v>
      </c>
      <c r="M743" t="s">
        <v>67</v>
      </c>
      <c r="O743" t="s">
        <v>4733</v>
      </c>
      <c r="P743" t="s">
        <v>1345</v>
      </c>
      <c r="Q743" s="23">
        <v>46281.556668101854</v>
      </c>
      <c r="R743" s="32">
        <f>IF(OR(tbl_de_massas[[#This Row],[dia_vencimento]]="", tbl_de_massas[[#This Row],[dia_vencimento]]="--"), "", WORKDAY(tbl_de_massas[[#This Row],[dia_vencimento]], 5))</f>
        <v>20</v>
      </c>
    </row>
    <row r="744" spans="1:18" x14ac:dyDescent="0.25">
      <c r="A744" t="s">
        <v>4734</v>
      </c>
      <c r="B744" t="s">
        <v>4735</v>
      </c>
      <c r="C744" s="32" t="s">
        <v>2922</v>
      </c>
      <c r="D744" t="s">
        <v>4736</v>
      </c>
      <c r="E744" s="54">
        <v>9003.91</v>
      </c>
      <c r="F744" s="54">
        <v>4835.1000000000004</v>
      </c>
      <c r="G744" s="54">
        <v>142.13999999999999</v>
      </c>
      <c r="H744" s="54">
        <v>3870.86</v>
      </c>
      <c r="I744" t="s">
        <v>2877</v>
      </c>
      <c r="J744" s="31">
        <v>4835.1000000000004</v>
      </c>
      <c r="K744" s="36" t="s">
        <v>2675</v>
      </c>
      <c r="L744" t="s">
        <v>2502</v>
      </c>
      <c r="M744" t="s">
        <v>67</v>
      </c>
      <c r="O744" t="s">
        <v>4737</v>
      </c>
      <c r="P744" t="s">
        <v>1341</v>
      </c>
      <c r="Q744" s="23">
        <v>46281.556669861115</v>
      </c>
      <c r="R744" s="32">
        <f>IF(OR(tbl_de_massas[[#This Row],[dia_vencimento]]="", tbl_de_massas[[#This Row],[dia_vencimento]]="--"), "", WORKDAY(tbl_de_massas[[#This Row],[dia_vencimento]], 5))</f>
        <v>6</v>
      </c>
    </row>
    <row r="745" spans="1:18" x14ac:dyDescent="0.25">
      <c r="A745" t="s">
        <v>4738</v>
      </c>
      <c r="B745" t="s">
        <v>4739</v>
      </c>
      <c r="C745" s="32" t="s">
        <v>2917</v>
      </c>
      <c r="D745" t="s">
        <v>4740</v>
      </c>
      <c r="E745" s="54">
        <v>5339.3</v>
      </c>
      <c r="F745" s="54">
        <v>4668.74</v>
      </c>
      <c r="G745" s="54">
        <v>1044.9000000000001</v>
      </c>
      <c r="H745" s="54">
        <v>3870.86</v>
      </c>
      <c r="I745" t="s">
        <v>2877</v>
      </c>
      <c r="J745" s="31">
        <v>4668.74</v>
      </c>
      <c r="K745" s="36" t="s">
        <v>2675</v>
      </c>
      <c r="L745" t="s">
        <v>2502</v>
      </c>
      <c r="M745" t="s">
        <v>4741</v>
      </c>
      <c r="N745" t="s">
        <v>1341</v>
      </c>
      <c r="O745" t="s">
        <v>67</v>
      </c>
      <c r="Q745" s="23">
        <v>46281.556671886574</v>
      </c>
      <c r="R745" s="32">
        <f>IF(OR(tbl_de_massas[[#This Row],[dia_vencimento]]="", tbl_de_massas[[#This Row],[dia_vencimento]]="--"), "", WORKDAY(tbl_de_massas[[#This Row],[dia_vencimento]], 5))</f>
        <v>27</v>
      </c>
    </row>
    <row r="746" spans="1:18" x14ac:dyDescent="0.25">
      <c r="A746" t="s">
        <v>4742</v>
      </c>
      <c r="B746" t="s">
        <v>4743</v>
      </c>
      <c r="C746" s="32" t="s">
        <v>2362</v>
      </c>
      <c r="D746" t="s">
        <v>4509</v>
      </c>
      <c r="E746" s="54">
        <v>6369.13</v>
      </c>
      <c r="F746" s="54">
        <v>498.03</v>
      </c>
      <c r="G746" s="54">
        <v>7114.11</v>
      </c>
      <c r="H746" s="54">
        <v>0</v>
      </c>
      <c r="I746" t="s">
        <v>2881</v>
      </c>
      <c r="J746" s="31">
        <v>896.45</v>
      </c>
      <c r="K746" s="36" t="s">
        <v>1306</v>
      </c>
      <c r="L746" t="s">
        <v>2504</v>
      </c>
      <c r="M746" t="s">
        <v>67</v>
      </c>
      <c r="O746" t="s">
        <v>4744</v>
      </c>
      <c r="P746" t="s">
        <v>1341</v>
      </c>
      <c r="Q746" s="23">
        <v>46281.556674039355</v>
      </c>
      <c r="R746" s="32">
        <f>IF(OR(tbl_de_massas[[#This Row],[dia_vencimento]]="", tbl_de_massas[[#This Row],[dia_vencimento]]="--"), "", WORKDAY(tbl_de_massas[[#This Row],[dia_vencimento]], 5))</f>
        <v>20</v>
      </c>
    </row>
    <row r="747" spans="1:18" x14ac:dyDescent="0.25">
      <c r="A747" t="s">
        <v>4745</v>
      </c>
      <c r="B747" t="s">
        <v>4746</v>
      </c>
      <c r="C747" s="32" t="s">
        <v>2917</v>
      </c>
      <c r="D747" t="s">
        <v>4747</v>
      </c>
      <c r="E747" s="54">
        <v>7053.43</v>
      </c>
      <c r="F747" s="54">
        <v>0</v>
      </c>
      <c r="G747" s="54">
        <v>13071.58</v>
      </c>
      <c r="H747" s="54">
        <v>0</v>
      </c>
      <c r="I747" t="s">
        <v>2881</v>
      </c>
      <c r="J747" s="31">
        <v>406.11</v>
      </c>
      <c r="K747" s="36" t="s">
        <v>1306</v>
      </c>
      <c r="L747" t="s">
        <v>2504</v>
      </c>
      <c r="M747" t="s">
        <v>67</v>
      </c>
      <c r="O747" t="s">
        <v>4748</v>
      </c>
      <c r="P747" t="s">
        <v>1341</v>
      </c>
      <c r="Q747" s="23">
        <v>46281.556675590276</v>
      </c>
      <c r="R747" s="32">
        <f>IF(OR(tbl_de_massas[[#This Row],[dia_vencimento]]="", tbl_de_massas[[#This Row],[dia_vencimento]]="--"), "", WORKDAY(tbl_de_massas[[#This Row],[dia_vencimento]], 5))</f>
        <v>27</v>
      </c>
    </row>
    <row r="748" spans="1:18" x14ac:dyDescent="0.25">
      <c r="A748" t="s">
        <v>4749</v>
      </c>
      <c r="B748" t="s">
        <v>4750</v>
      </c>
      <c r="C748" s="32" t="s">
        <v>5838</v>
      </c>
      <c r="D748" t="s">
        <v>4751</v>
      </c>
      <c r="E748" s="54">
        <v>4645.5</v>
      </c>
      <c r="F748" s="54">
        <v>926.88</v>
      </c>
      <c r="G748" s="54">
        <v>20914.650000000001</v>
      </c>
      <c r="H748" s="54">
        <v>0</v>
      </c>
      <c r="I748" t="s">
        <v>2881</v>
      </c>
      <c r="J748" s="31">
        <v>926.88</v>
      </c>
      <c r="K748" s="36" t="s">
        <v>1306</v>
      </c>
      <c r="L748" t="s">
        <v>2504</v>
      </c>
      <c r="M748" t="s">
        <v>4752</v>
      </c>
      <c r="N748" t="s">
        <v>1345</v>
      </c>
      <c r="O748" t="s">
        <v>67</v>
      </c>
      <c r="Q748" s="23">
        <v>46281.556677361114</v>
      </c>
      <c r="R748" s="32">
        <f>IF(OR(tbl_de_massas[[#This Row],[dia_vencimento]]="", tbl_de_massas[[#This Row],[dia_vencimento]]="--"), "", WORKDAY(tbl_de_massas[[#This Row],[dia_vencimento]], 5))</f>
        <v>11</v>
      </c>
    </row>
    <row r="749" spans="1:18" x14ac:dyDescent="0.25">
      <c r="A749" t="s">
        <v>4753</v>
      </c>
      <c r="B749" t="s">
        <v>4754</v>
      </c>
      <c r="C749" s="32" t="s">
        <v>2925</v>
      </c>
      <c r="D749" t="s">
        <v>4755</v>
      </c>
      <c r="E749" s="54">
        <v>1286.97</v>
      </c>
      <c r="F749" s="54">
        <v>4804.97</v>
      </c>
      <c r="G749" s="54">
        <v>4749.8</v>
      </c>
      <c r="H749" s="54">
        <v>3870.86</v>
      </c>
      <c r="I749" t="s">
        <v>2877</v>
      </c>
      <c r="J749" s="31">
        <v>4804.97</v>
      </c>
      <c r="K749" s="36" t="s">
        <v>2675</v>
      </c>
      <c r="L749" t="s">
        <v>2502</v>
      </c>
      <c r="M749" t="s">
        <v>4756</v>
      </c>
      <c r="N749" t="s">
        <v>1345</v>
      </c>
      <c r="O749" t="s">
        <v>4757</v>
      </c>
      <c r="P749" t="s">
        <v>1345</v>
      </c>
      <c r="Q749" s="23">
        <v>46281.556679224537</v>
      </c>
      <c r="R749" s="32">
        <f>IF(OR(tbl_de_massas[[#This Row],[dia_vencimento]]="", tbl_de_massas[[#This Row],[dia_vencimento]]="--"), "", WORKDAY(tbl_de_massas[[#This Row],[dia_vencimento]], 5))</f>
        <v>24</v>
      </c>
    </row>
    <row r="750" spans="1:18" x14ac:dyDescent="0.25">
      <c r="A750" t="s">
        <v>4758</v>
      </c>
      <c r="B750" t="s">
        <v>4759</v>
      </c>
      <c r="C750" s="32" t="s">
        <v>2924</v>
      </c>
      <c r="D750" t="s">
        <v>4760</v>
      </c>
      <c r="E750" s="54">
        <v>1880.43</v>
      </c>
      <c r="F750" s="54">
        <v>0</v>
      </c>
      <c r="G750" s="54">
        <v>12818.95</v>
      </c>
      <c r="H750" s="54">
        <v>0</v>
      </c>
      <c r="I750" t="s">
        <v>2881</v>
      </c>
      <c r="J750" s="31">
        <v>463.89</v>
      </c>
      <c r="K750" s="36" t="s">
        <v>1306</v>
      </c>
      <c r="L750" t="s">
        <v>2504</v>
      </c>
      <c r="M750" t="s">
        <v>67</v>
      </c>
      <c r="O750" t="s">
        <v>4761</v>
      </c>
      <c r="P750" t="s">
        <v>1341</v>
      </c>
      <c r="Q750" s="23">
        <v>46281.556681365742</v>
      </c>
      <c r="R750" s="32">
        <f>IF(OR(tbl_de_massas[[#This Row],[dia_vencimento]]="", tbl_de_massas[[#This Row],[dia_vencimento]]="--"), "", WORKDAY(tbl_de_massas[[#This Row],[dia_vencimento]], 5))</f>
        <v>26</v>
      </c>
    </row>
    <row r="751" spans="1:18" x14ac:dyDescent="0.25">
      <c r="A751" t="s">
        <v>4762</v>
      </c>
      <c r="B751" t="s">
        <v>4763</v>
      </c>
      <c r="C751" s="32" t="s">
        <v>2924</v>
      </c>
      <c r="D751" t="s">
        <v>4764</v>
      </c>
      <c r="E751" s="54">
        <v>11059.02</v>
      </c>
      <c r="F751" s="54">
        <v>0</v>
      </c>
      <c r="G751" s="54">
        <v>16223.35</v>
      </c>
      <c r="H751" s="54">
        <v>0</v>
      </c>
      <c r="I751" t="s">
        <v>2881</v>
      </c>
      <c r="J751" s="31">
        <v>875.13</v>
      </c>
      <c r="K751" s="36" t="s">
        <v>1306</v>
      </c>
      <c r="L751" t="s">
        <v>2504</v>
      </c>
      <c r="M751" t="s">
        <v>4765</v>
      </c>
      <c r="N751" t="s">
        <v>1341</v>
      </c>
      <c r="O751" t="s">
        <v>4766</v>
      </c>
      <c r="P751" t="s">
        <v>1341</v>
      </c>
      <c r="Q751" s="23">
        <v>46281.556683043978</v>
      </c>
      <c r="R751" s="32">
        <f>IF(OR(tbl_de_massas[[#This Row],[dia_vencimento]]="", tbl_de_massas[[#This Row],[dia_vencimento]]="--"), "", WORKDAY(tbl_de_massas[[#This Row],[dia_vencimento]], 5))</f>
        <v>26</v>
      </c>
    </row>
    <row r="752" spans="1:18" x14ac:dyDescent="0.25">
      <c r="A752" t="s">
        <v>4767</v>
      </c>
      <c r="B752" t="s">
        <v>4768</v>
      </c>
      <c r="C752" s="32" t="s">
        <v>5834</v>
      </c>
      <c r="D752" t="s">
        <v>4769</v>
      </c>
      <c r="E752" s="54">
        <v>2558.67</v>
      </c>
      <c r="F752" s="54">
        <v>4678.62</v>
      </c>
      <c r="G752" s="54">
        <v>-1195.77</v>
      </c>
      <c r="H752" s="54">
        <v>3870.86</v>
      </c>
      <c r="I752" t="s">
        <v>2877</v>
      </c>
      <c r="J752" s="31">
        <v>4678.62</v>
      </c>
      <c r="K752" s="36" t="s">
        <v>2675</v>
      </c>
      <c r="L752" t="s">
        <v>2502</v>
      </c>
      <c r="M752" t="s">
        <v>67</v>
      </c>
      <c r="O752" t="s">
        <v>4770</v>
      </c>
      <c r="P752" t="s">
        <v>1341</v>
      </c>
      <c r="Q752" s="23">
        <v>46281.56033670139</v>
      </c>
      <c r="R752" s="32">
        <f>IF(OR(tbl_de_massas[[#This Row],[dia_vencimento]]="", tbl_de_massas[[#This Row],[dia_vencimento]]="--"), "", WORKDAY(tbl_de_massas[[#This Row],[dia_vencimento]], 5))</f>
        <v>10</v>
      </c>
    </row>
    <row r="753" spans="1:18" x14ac:dyDescent="0.25">
      <c r="A753" t="s">
        <v>4771</v>
      </c>
      <c r="B753" t="s">
        <v>4772</v>
      </c>
      <c r="C753" s="32" t="s">
        <v>2675</v>
      </c>
      <c r="D753" t="s">
        <v>4773</v>
      </c>
      <c r="E753" s="54">
        <v>14466.36</v>
      </c>
      <c r="F753" s="54">
        <v>4714.97</v>
      </c>
      <c r="G753" s="54">
        <v>13348.93</v>
      </c>
      <c r="H753" s="54">
        <v>3870.86</v>
      </c>
      <c r="I753" t="s">
        <v>2877</v>
      </c>
      <c r="J753" s="31">
        <v>4714.97</v>
      </c>
      <c r="K753" s="36" t="s">
        <v>2675</v>
      </c>
      <c r="L753" t="s">
        <v>2502</v>
      </c>
      <c r="M753" t="s">
        <v>67</v>
      </c>
      <c r="O753" t="s">
        <v>4774</v>
      </c>
      <c r="P753" t="s">
        <v>1345</v>
      </c>
      <c r="Q753" s="23">
        <v>46281.560339583331</v>
      </c>
      <c r="R753" s="32">
        <f>IF(OR(tbl_de_massas[[#This Row],[dia_vencimento]]="", tbl_de_massas[[#This Row],[dia_vencimento]]="--"), "", WORKDAY(tbl_de_massas[[#This Row],[dia_vencimento]], 5))</f>
        <v>23</v>
      </c>
    </row>
    <row r="754" spans="1:18" x14ac:dyDescent="0.25">
      <c r="A754" t="s">
        <v>4775</v>
      </c>
      <c r="B754" t="s">
        <v>4776</v>
      </c>
      <c r="C754" s="32" t="s">
        <v>2361</v>
      </c>
      <c r="D754" t="s">
        <v>4777</v>
      </c>
      <c r="E754" s="54">
        <v>2740.03</v>
      </c>
      <c r="F754" s="54">
        <v>5076.5600000000004</v>
      </c>
      <c r="G754" s="54">
        <v>2373.71</v>
      </c>
      <c r="H754" s="54">
        <v>3870.86</v>
      </c>
      <c r="I754" t="s">
        <v>2877</v>
      </c>
      <c r="J754" s="31">
        <v>5076.5600000000004</v>
      </c>
      <c r="K754" s="36" t="s">
        <v>2675</v>
      </c>
      <c r="L754" t="s">
        <v>2502</v>
      </c>
      <c r="M754" t="s">
        <v>67</v>
      </c>
      <c r="O754" t="s">
        <v>4778</v>
      </c>
      <c r="P754" t="s">
        <v>1341</v>
      </c>
      <c r="Q754" s="23">
        <v>46281.56034196759</v>
      </c>
      <c r="R754" s="32">
        <f>IF(OR(tbl_de_massas[[#This Row],[dia_vencimento]]="", tbl_de_massas[[#This Row],[dia_vencimento]]="--"), "", WORKDAY(tbl_de_massas[[#This Row],[dia_vencimento]], 5))</f>
        <v>20</v>
      </c>
    </row>
    <row r="755" spans="1:18" x14ac:dyDescent="0.25">
      <c r="A755" t="s">
        <v>4779</v>
      </c>
      <c r="B755" t="s">
        <v>4780</v>
      </c>
      <c r="C755" s="32" t="s">
        <v>5827</v>
      </c>
      <c r="D755" t="s">
        <v>4781</v>
      </c>
      <c r="E755" s="54">
        <v>12099.2</v>
      </c>
      <c r="F755" s="54">
        <v>728.96</v>
      </c>
      <c r="G755" s="54">
        <v>16968.439999999999</v>
      </c>
      <c r="H755" s="54">
        <v>0</v>
      </c>
      <c r="I755" t="s">
        <v>2881</v>
      </c>
      <c r="J755" s="31">
        <v>728.96</v>
      </c>
      <c r="K755" s="36" t="s">
        <v>1306</v>
      </c>
      <c r="L755" t="s">
        <v>2504</v>
      </c>
      <c r="M755" t="s">
        <v>4782</v>
      </c>
      <c r="N755" t="s">
        <v>1341</v>
      </c>
      <c r="O755" t="s">
        <v>4783</v>
      </c>
      <c r="P755" t="s">
        <v>1341</v>
      </c>
      <c r="Q755" s="23">
        <v>46281.56034434028</v>
      </c>
      <c r="R755" s="32">
        <f>IF(OR(tbl_de_massas[[#This Row],[dia_vencimento]]="", tbl_de_massas[[#This Row],[dia_vencimento]]="--"), "", WORKDAY(tbl_de_massas[[#This Row],[dia_vencimento]], 5))</f>
        <v>12</v>
      </c>
    </row>
    <row r="756" spans="1:18" x14ac:dyDescent="0.25">
      <c r="A756" t="s">
        <v>4784</v>
      </c>
      <c r="B756" t="s">
        <v>4785</v>
      </c>
      <c r="C756" s="32" t="s">
        <v>2924</v>
      </c>
      <c r="D756" t="s">
        <v>4786</v>
      </c>
      <c r="E756" s="54">
        <v>3537.91</v>
      </c>
      <c r="F756" s="54">
        <v>0</v>
      </c>
      <c r="G756" s="54">
        <v>8121.42</v>
      </c>
      <c r="H756" s="54">
        <v>0</v>
      </c>
      <c r="I756" t="s">
        <v>2881</v>
      </c>
      <c r="J756" s="31">
        <v>796.97</v>
      </c>
      <c r="K756" s="36" t="s">
        <v>1306</v>
      </c>
      <c r="L756" t="s">
        <v>2504</v>
      </c>
      <c r="M756" t="s">
        <v>67</v>
      </c>
      <c r="O756" t="s">
        <v>4787</v>
      </c>
      <c r="P756" t="s">
        <v>1341</v>
      </c>
      <c r="Q756" s="23">
        <v>46281.560346446757</v>
      </c>
      <c r="R756" s="32">
        <f>IF(OR(tbl_de_massas[[#This Row],[dia_vencimento]]="", tbl_de_massas[[#This Row],[dia_vencimento]]="--"), "", WORKDAY(tbl_de_massas[[#This Row],[dia_vencimento]], 5))</f>
        <v>26</v>
      </c>
    </row>
    <row r="757" spans="1:18" x14ac:dyDescent="0.25">
      <c r="A757" t="s">
        <v>4788</v>
      </c>
      <c r="B757" t="s">
        <v>4789</v>
      </c>
      <c r="C757" s="32" t="s">
        <v>2675</v>
      </c>
      <c r="D757" t="s">
        <v>4790</v>
      </c>
      <c r="E757" s="54">
        <v>12505.27</v>
      </c>
      <c r="F757" s="54">
        <v>822.29</v>
      </c>
      <c r="G757" s="54">
        <v>5213.18</v>
      </c>
      <c r="H757" s="54">
        <v>0</v>
      </c>
      <c r="I757" t="s">
        <v>2881</v>
      </c>
      <c r="J757" s="31">
        <v>822.29</v>
      </c>
      <c r="K757" s="36" t="s">
        <v>1306</v>
      </c>
      <c r="L757" t="s">
        <v>2504</v>
      </c>
      <c r="M757" t="s">
        <v>4791</v>
      </c>
      <c r="N757" t="s">
        <v>1345</v>
      </c>
      <c r="O757" t="s">
        <v>4792</v>
      </c>
      <c r="P757" t="s">
        <v>1345</v>
      </c>
      <c r="Q757" s="23">
        <v>46281.560348391205</v>
      </c>
      <c r="R757" s="32">
        <f>IF(OR(tbl_de_massas[[#This Row],[dia_vencimento]]="", tbl_de_massas[[#This Row],[dia_vencimento]]="--"), "", WORKDAY(tbl_de_massas[[#This Row],[dia_vencimento]], 5))</f>
        <v>23</v>
      </c>
    </row>
    <row r="758" spans="1:18" x14ac:dyDescent="0.25">
      <c r="A758" t="s">
        <v>4793</v>
      </c>
      <c r="B758" t="s">
        <v>4794</v>
      </c>
      <c r="C758" s="32" t="s">
        <v>5834</v>
      </c>
      <c r="D758" t="s">
        <v>4795</v>
      </c>
      <c r="E758" s="54">
        <v>8205.39</v>
      </c>
      <c r="F758" s="54">
        <v>4943.12</v>
      </c>
      <c r="G758" s="54">
        <v>8735.6</v>
      </c>
      <c r="H758" s="54">
        <v>3870.86</v>
      </c>
      <c r="I758" t="s">
        <v>2877</v>
      </c>
      <c r="J758" s="31">
        <v>4943.12</v>
      </c>
      <c r="K758" s="36" t="s">
        <v>2675</v>
      </c>
      <c r="L758" t="s">
        <v>2502</v>
      </c>
      <c r="M758" t="s">
        <v>4796</v>
      </c>
      <c r="N758" t="s">
        <v>1341</v>
      </c>
      <c r="O758" t="s">
        <v>67</v>
      </c>
      <c r="Q758" s="23">
        <v>46281.560350567132</v>
      </c>
      <c r="R758" s="32">
        <f>IF(OR(tbl_de_massas[[#This Row],[dia_vencimento]]="", tbl_de_massas[[#This Row],[dia_vencimento]]="--"), "", WORKDAY(tbl_de_massas[[#This Row],[dia_vencimento]], 5))</f>
        <v>10</v>
      </c>
    </row>
    <row r="759" spans="1:18" x14ac:dyDescent="0.25">
      <c r="A759" t="s">
        <v>4797</v>
      </c>
      <c r="B759" t="s">
        <v>4798</v>
      </c>
      <c r="C759" s="32" t="s">
        <v>2924</v>
      </c>
      <c r="D759" t="s">
        <v>4799</v>
      </c>
      <c r="E759" s="54">
        <v>9526.82</v>
      </c>
      <c r="F759" s="54">
        <v>4871.92</v>
      </c>
      <c r="G759" s="54">
        <v>14286.06</v>
      </c>
      <c r="H759" s="54">
        <v>3870.86</v>
      </c>
      <c r="I759" t="s">
        <v>2877</v>
      </c>
      <c r="J759" s="31">
        <v>4871.92</v>
      </c>
      <c r="K759" s="36" t="s">
        <v>2675</v>
      </c>
      <c r="L759" t="s">
        <v>2502</v>
      </c>
      <c r="M759" t="s">
        <v>4800</v>
      </c>
      <c r="N759" t="s">
        <v>1345</v>
      </c>
      <c r="O759" t="s">
        <v>67</v>
      </c>
      <c r="Q759" s="23">
        <v>46281.560352916669</v>
      </c>
      <c r="R759" s="32">
        <f>IF(OR(tbl_de_massas[[#This Row],[dia_vencimento]]="", tbl_de_massas[[#This Row],[dia_vencimento]]="--"), "", WORKDAY(tbl_de_massas[[#This Row],[dia_vencimento]], 5))</f>
        <v>26</v>
      </c>
    </row>
    <row r="760" spans="1:18" x14ac:dyDescent="0.25">
      <c r="A760" t="s">
        <v>4801</v>
      </c>
      <c r="B760" t="s">
        <v>4802</v>
      </c>
      <c r="C760" s="32" t="s">
        <v>611</v>
      </c>
      <c r="D760" t="s">
        <v>4803</v>
      </c>
      <c r="E760" s="54">
        <v>2873.91</v>
      </c>
      <c r="F760" s="54">
        <v>0</v>
      </c>
      <c r="G760" s="54">
        <v>2234.27</v>
      </c>
      <c r="H760" s="54">
        <v>0</v>
      </c>
      <c r="I760" t="s">
        <v>2881</v>
      </c>
      <c r="J760" s="31">
        <v>424.92</v>
      </c>
      <c r="K760" s="36" t="s">
        <v>1306</v>
      </c>
      <c r="L760" t="s">
        <v>2504</v>
      </c>
      <c r="M760" t="s">
        <v>4804</v>
      </c>
      <c r="N760" t="s">
        <v>1341</v>
      </c>
      <c r="O760" t="s">
        <v>4805</v>
      </c>
      <c r="P760" t="s">
        <v>1341</v>
      </c>
      <c r="Q760" s="23">
        <v>46281.560355127316</v>
      </c>
      <c r="R760" s="32">
        <f>IF(OR(tbl_de_massas[[#This Row],[dia_vencimento]]="", tbl_de_massas[[#This Row],[dia_vencimento]]="--"), "", WORKDAY(tbl_de_massas[[#This Row],[dia_vencimento]], 5))</f>
        <v>32</v>
      </c>
    </row>
    <row r="761" spans="1:18" x14ac:dyDescent="0.25">
      <c r="A761" t="s">
        <v>4806</v>
      </c>
      <c r="B761" t="s">
        <v>4807</v>
      </c>
      <c r="C761" s="32" t="s">
        <v>2924</v>
      </c>
      <c r="D761" t="s">
        <v>4808</v>
      </c>
      <c r="E761" s="54">
        <v>1701.21</v>
      </c>
      <c r="F761" s="54">
        <v>4654.4399999999996</v>
      </c>
      <c r="G761" s="54">
        <v>10557.08</v>
      </c>
      <c r="H761" s="54">
        <v>3870.86</v>
      </c>
      <c r="I761" t="s">
        <v>2877</v>
      </c>
      <c r="J761" s="31">
        <v>4654.4399999999996</v>
      </c>
      <c r="K761" s="36" t="s">
        <v>2675</v>
      </c>
      <c r="L761" t="s">
        <v>2502</v>
      </c>
      <c r="M761" t="s">
        <v>67</v>
      </c>
      <c r="O761" t="s">
        <v>4809</v>
      </c>
      <c r="P761" t="s">
        <v>1341</v>
      </c>
      <c r="Q761" s="23">
        <v>46281.560357326387</v>
      </c>
      <c r="R761" s="32">
        <f>IF(OR(tbl_de_massas[[#This Row],[dia_vencimento]]="", tbl_de_massas[[#This Row],[dia_vencimento]]="--"), "", WORKDAY(tbl_de_massas[[#This Row],[dia_vencimento]], 5))</f>
        <v>26</v>
      </c>
    </row>
    <row r="762" spans="1:18" x14ac:dyDescent="0.25">
      <c r="A762" t="s">
        <v>4810</v>
      </c>
      <c r="B762" t="s">
        <v>4811</v>
      </c>
      <c r="C762" s="32" t="s">
        <v>5833</v>
      </c>
      <c r="D762" t="s">
        <v>4812</v>
      </c>
      <c r="E762" s="54">
        <v>2269.0300000000002</v>
      </c>
      <c r="F762" s="54">
        <v>410.72</v>
      </c>
      <c r="G762" s="54">
        <v>17245.64</v>
      </c>
      <c r="H762" s="54">
        <v>0</v>
      </c>
      <c r="I762" t="s">
        <v>2881</v>
      </c>
      <c r="J762" s="31">
        <v>410.72</v>
      </c>
      <c r="K762" s="36" t="s">
        <v>1306</v>
      </c>
      <c r="L762" t="s">
        <v>2504</v>
      </c>
      <c r="M762" t="s">
        <v>4813</v>
      </c>
      <c r="N762" t="s">
        <v>1345</v>
      </c>
      <c r="O762" t="s">
        <v>67</v>
      </c>
      <c r="Q762" s="23">
        <v>46281.560359560186</v>
      </c>
      <c r="R762" s="32">
        <f>IF(OR(tbl_de_massas[[#This Row],[dia_vencimento]]="", tbl_de_massas[[#This Row],[dia_vencimento]]="--"), "", WORKDAY(tbl_de_massas[[#This Row],[dia_vencimento]], 5))</f>
        <v>13</v>
      </c>
    </row>
    <row r="763" spans="1:18" x14ac:dyDescent="0.25">
      <c r="A763" t="s">
        <v>4814</v>
      </c>
      <c r="B763" t="s">
        <v>4815</v>
      </c>
      <c r="C763" s="32" t="s">
        <v>2921</v>
      </c>
      <c r="D763" t="s">
        <v>4816</v>
      </c>
      <c r="E763" s="54">
        <v>1269.8499999999999</v>
      </c>
      <c r="F763" s="54">
        <v>524.05999999999995</v>
      </c>
      <c r="G763" s="54">
        <v>20342.73</v>
      </c>
      <c r="H763" s="54">
        <v>0</v>
      </c>
      <c r="I763" t="s">
        <v>2881</v>
      </c>
      <c r="J763" s="31">
        <v>524.05999999999995</v>
      </c>
      <c r="K763" s="36" t="s">
        <v>1306</v>
      </c>
      <c r="L763" t="s">
        <v>2504</v>
      </c>
      <c r="M763" t="s">
        <v>4817</v>
      </c>
      <c r="N763" t="s">
        <v>1341</v>
      </c>
      <c r="O763" t="s">
        <v>67</v>
      </c>
      <c r="Q763" s="23">
        <v>46281.56036127315</v>
      </c>
      <c r="R763" s="32">
        <f>IF(OR(tbl_de_massas[[#This Row],[dia_vencimento]]="", tbl_de_massas[[#This Row],[dia_vencimento]]="--"), "", WORKDAY(tbl_de_massas[[#This Row],[dia_vencimento]], 5))</f>
        <v>13</v>
      </c>
    </row>
    <row r="764" spans="1:18" x14ac:dyDescent="0.25">
      <c r="A764" t="s">
        <v>4818</v>
      </c>
      <c r="B764" t="s">
        <v>4819</v>
      </c>
      <c r="C764" s="32" t="s">
        <v>2918</v>
      </c>
      <c r="D764" t="s">
        <v>4820</v>
      </c>
      <c r="E764" s="54">
        <v>13824.7</v>
      </c>
      <c r="F764" s="54">
        <v>0</v>
      </c>
      <c r="G764" s="54">
        <v>7956.9</v>
      </c>
      <c r="H764" s="54">
        <v>0</v>
      </c>
      <c r="I764" t="s">
        <v>2881</v>
      </c>
      <c r="J764" s="31">
        <v>659.27</v>
      </c>
      <c r="K764" s="36" t="s">
        <v>1306</v>
      </c>
      <c r="L764" t="s">
        <v>2504</v>
      </c>
      <c r="M764" t="s">
        <v>4821</v>
      </c>
      <c r="N764" t="s">
        <v>1341</v>
      </c>
      <c r="O764" t="s">
        <v>67</v>
      </c>
      <c r="Q764" s="23">
        <v>46281.560363182871</v>
      </c>
      <c r="R764" s="32">
        <f>IF(OR(tbl_de_massas[[#This Row],[dia_vencimento]]="", tbl_de_massas[[#This Row],[dia_vencimento]]="--"), "", WORKDAY(tbl_de_massas[[#This Row],[dia_vencimento]], 5))</f>
        <v>34</v>
      </c>
    </row>
    <row r="765" spans="1:18" x14ac:dyDescent="0.25">
      <c r="A765" t="s">
        <v>4822</v>
      </c>
      <c r="B765" t="s">
        <v>4823</v>
      </c>
      <c r="C765" s="32" t="s">
        <v>2922</v>
      </c>
      <c r="D765" t="s">
        <v>4824</v>
      </c>
      <c r="E765" s="54">
        <v>5408.49</v>
      </c>
      <c r="F765" s="54">
        <v>4953.03</v>
      </c>
      <c r="G765" s="54">
        <v>15593.81</v>
      </c>
      <c r="H765" s="54">
        <v>3870.86</v>
      </c>
      <c r="I765" t="s">
        <v>2877</v>
      </c>
      <c r="J765" s="31">
        <v>4953.03</v>
      </c>
      <c r="K765" s="36" t="s">
        <v>2675</v>
      </c>
      <c r="L765" t="s">
        <v>2502</v>
      </c>
      <c r="M765" t="s">
        <v>4825</v>
      </c>
      <c r="N765" t="s">
        <v>1341</v>
      </c>
      <c r="O765" t="s">
        <v>67</v>
      </c>
      <c r="Q765" s="23">
        <v>46281.560365115743</v>
      </c>
      <c r="R765" s="32">
        <f>IF(OR(tbl_de_massas[[#This Row],[dia_vencimento]]="", tbl_de_massas[[#This Row],[dia_vencimento]]="--"), "", WORKDAY(tbl_de_massas[[#This Row],[dia_vencimento]], 5))</f>
        <v>6</v>
      </c>
    </row>
    <row r="766" spans="1:18" x14ac:dyDescent="0.25">
      <c r="A766" t="s">
        <v>4826</v>
      </c>
      <c r="B766" t="s">
        <v>4827</v>
      </c>
      <c r="C766" s="32" t="s">
        <v>611</v>
      </c>
      <c r="D766" t="s">
        <v>4828</v>
      </c>
      <c r="E766" s="54">
        <v>4333.5</v>
      </c>
      <c r="F766" s="54">
        <v>0</v>
      </c>
      <c r="G766" s="54">
        <v>18588.84</v>
      </c>
      <c r="H766" s="54">
        <v>0</v>
      </c>
      <c r="I766" t="s">
        <v>2881</v>
      </c>
      <c r="J766" s="31">
        <v>974.12</v>
      </c>
      <c r="K766" s="36" t="s">
        <v>1306</v>
      </c>
      <c r="L766" t="s">
        <v>2504</v>
      </c>
      <c r="M766" t="s">
        <v>4829</v>
      </c>
      <c r="N766" t="s">
        <v>1341</v>
      </c>
      <c r="O766" t="s">
        <v>67</v>
      </c>
      <c r="Q766" s="23">
        <v>46281.560367106482</v>
      </c>
      <c r="R766" s="32">
        <f>IF(OR(tbl_de_massas[[#This Row],[dia_vencimento]]="", tbl_de_massas[[#This Row],[dia_vencimento]]="--"), "", WORKDAY(tbl_de_massas[[#This Row],[dia_vencimento]], 5))</f>
        <v>32</v>
      </c>
    </row>
    <row r="767" spans="1:18" x14ac:dyDescent="0.25">
      <c r="A767" t="s">
        <v>4830</v>
      </c>
      <c r="B767" t="s">
        <v>4831</v>
      </c>
      <c r="C767" s="32" t="s">
        <v>607</v>
      </c>
      <c r="D767" t="s">
        <v>4832</v>
      </c>
      <c r="E767" s="54">
        <v>15203.69</v>
      </c>
      <c r="F767" s="54">
        <v>5088.3500000000004</v>
      </c>
      <c r="G767" s="54">
        <v>13686.38</v>
      </c>
      <c r="H767" s="54">
        <v>3870.86</v>
      </c>
      <c r="I767" t="s">
        <v>2877</v>
      </c>
      <c r="J767" s="31">
        <v>5088.3500000000004</v>
      </c>
      <c r="K767" s="36" t="s">
        <v>2675</v>
      </c>
      <c r="L767" t="s">
        <v>2502</v>
      </c>
      <c r="M767" t="s">
        <v>4833</v>
      </c>
      <c r="N767" t="s">
        <v>1341</v>
      </c>
      <c r="O767" t="s">
        <v>67</v>
      </c>
      <c r="Q767" s="23">
        <v>46281.560369004626</v>
      </c>
      <c r="R767" s="32">
        <f>IF(OR(tbl_de_massas[[#This Row],[dia_vencimento]]="", tbl_de_massas[[#This Row],[dia_vencimento]]="--"), "", WORKDAY(tbl_de_massas[[#This Row],[dia_vencimento]], 5))</f>
        <v>20</v>
      </c>
    </row>
    <row r="768" spans="1:18" x14ac:dyDescent="0.25">
      <c r="A768" t="s">
        <v>4834</v>
      </c>
      <c r="B768" t="s">
        <v>4835</v>
      </c>
      <c r="C768" s="32" t="s">
        <v>5838</v>
      </c>
      <c r="D768" t="s">
        <v>4836</v>
      </c>
      <c r="E768" s="54">
        <v>5402.04</v>
      </c>
      <c r="F768" s="54">
        <v>4975.8900000000003</v>
      </c>
      <c r="G768" s="54">
        <v>-293.43</v>
      </c>
      <c r="H768" s="54">
        <v>3870.86</v>
      </c>
      <c r="I768" t="s">
        <v>2877</v>
      </c>
      <c r="J768" s="31">
        <v>4975.8900000000003</v>
      </c>
      <c r="K768" s="36" t="s">
        <v>2675</v>
      </c>
      <c r="L768" t="s">
        <v>2502</v>
      </c>
      <c r="M768" t="s">
        <v>4837</v>
      </c>
      <c r="N768" t="s">
        <v>1341</v>
      </c>
      <c r="O768" t="s">
        <v>67</v>
      </c>
      <c r="Q768" s="23">
        <v>46281.560371238425</v>
      </c>
      <c r="R768" s="32">
        <f>IF(OR(tbl_de_massas[[#This Row],[dia_vencimento]]="", tbl_de_massas[[#This Row],[dia_vencimento]]="--"), "", WORKDAY(tbl_de_massas[[#This Row],[dia_vencimento]], 5))</f>
        <v>11</v>
      </c>
    </row>
    <row r="769" spans="1:18" x14ac:dyDescent="0.25">
      <c r="A769" t="s">
        <v>4838</v>
      </c>
      <c r="B769" t="s">
        <v>4839</v>
      </c>
      <c r="C769" s="32" t="s">
        <v>5833</v>
      </c>
      <c r="D769" t="s">
        <v>4361</v>
      </c>
      <c r="E769" s="54">
        <v>3194.1</v>
      </c>
      <c r="F769" s="54">
        <v>4946.8900000000003</v>
      </c>
      <c r="G769" s="54">
        <v>-2521.85</v>
      </c>
      <c r="H769" s="54">
        <v>3870.86</v>
      </c>
      <c r="I769" t="s">
        <v>2877</v>
      </c>
      <c r="J769" s="31">
        <v>4946.8900000000003</v>
      </c>
      <c r="K769" s="36" t="s">
        <v>2675</v>
      </c>
      <c r="L769" t="s">
        <v>2502</v>
      </c>
      <c r="M769" t="s">
        <v>4840</v>
      </c>
      <c r="N769" t="s">
        <v>1345</v>
      </c>
      <c r="O769" t="s">
        <v>67</v>
      </c>
      <c r="Q769" s="23">
        <v>46281.560373356479</v>
      </c>
      <c r="R769" s="32">
        <f>IF(OR(tbl_de_massas[[#This Row],[dia_vencimento]]="", tbl_de_massas[[#This Row],[dia_vencimento]]="--"), "", WORKDAY(tbl_de_massas[[#This Row],[dia_vencimento]], 5))</f>
        <v>13</v>
      </c>
    </row>
    <row r="770" spans="1:18" x14ac:dyDescent="0.25">
      <c r="A770" t="s">
        <v>4841</v>
      </c>
      <c r="B770" t="s">
        <v>4842</v>
      </c>
      <c r="C770" s="32" t="s">
        <v>2922</v>
      </c>
      <c r="D770" t="s">
        <v>4843</v>
      </c>
      <c r="E770" s="54">
        <v>572.65</v>
      </c>
      <c r="F770" s="54">
        <v>5093.54</v>
      </c>
      <c r="G770" s="54">
        <v>1030.3900000000001</v>
      </c>
      <c r="H770" s="54">
        <v>3870.86</v>
      </c>
      <c r="I770" t="s">
        <v>2877</v>
      </c>
      <c r="J770" s="31">
        <v>5093.54</v>
      </c>
      <c r="K770" s="36" t="s">
        <v>2675</v>
      </c>
      <c r="L770" t="s">
        <v>2502</v>
      </c>
      <c r="M770" t="s">
        <v>67</v>
      </c>
      <c r="O770" t="s">
        <v>4844</v>
      </c>
      <c r="P770" t="s">
        <v>1345</v>
      </c>
      <c r="Q770" s="23">
        <v>46281.560375590278</v>
      </c>
      <c r="R770" s="32">
        <f>IF(OR(tbl_de_massas[[#This Row],[dia_vencimento]]="", tbl_de_massas[[#This Row],[dia_vencimento]]="--"), "", WORKDAY(tbl_de_massas[[#This Row],[dia_vencimento]], 5))</f>
        <v>6</v>
      </c>
    </row>
    <row r="771" spans="1:18" x14ac:dyDescent="0.25">
      <c r="A771" t="s">
        <v>4845</v>
      </c>
      <c r="B771" t="s">
        <v>4846</v>
      </c>
      <c r="C771" s="32" t="s">
        <v>607</v>
      </c>
      <c r="D771" t="s">
        <v>4847</v>
      </c>
      <c r="E771" s="54">
        <v>5373.35</v>
      </c>
      <c r="F771" s="54">
        <v>4639.7299999999996</v>
      </c>
      <c r="G771" s="54">
        <v>17264.98</v>
      </c>
      <c r="H771" s="54">
        <v>3870.86</v>
      </c>
      <c r="I771" t="s">
        <v>2877</v>
      </c>
      <c r="J771" s="31">
        <v>4639.7299999999996</v>
      </c>
      <c r="K771" s="36" t="s">
        <v>2675</v>
      </c>
      <c r="L771" t="s">
        <v>2502</v>
      </c>
      <c r="M771" t="s">
        <v>67</v>
      </c>
      <c r="O771" t="s">
        <v>4848</v>
      </c>
      <c r="P771" t="s">
        <v>1341</v>
      </c>
      <c r="Q771" s="23">
        <v>46281.560377766204</v>
      </c>
      <c r="R771" s="32">
        <f>IF(OR(tbl_de_massas[[#This Row],[dia_vencimento]]="", tbl_de_massas[[#This Row],[dia_vencimento]]="--"), "", WORKDAY(tbl_de_massas[[#This Row],[dia_vencimento]], 5))</f>
        <v>20</v>
      </c>
    </row>
    <row r="772" spans="1:18" x14ac:dyDescent="0.25">
      <c r="A772" t="s">
        <v>4849</v>
      </c>
      <c r="B772" t="s">
        <v>4850</v>
      </c>
      <c r="C772" s="32" t="s">
        <v>2360</v>
      </c>
      <c r="D772" t="s">
        <v>4851</v>
      </c>
      <c r="E772" s="54">
        <v>6091.02</v>
      </c>
      <c r="F772" s="54">
        <v>942.37</v>
      </c>
      <c r="G772" s="54">
        <v>20601.71</v>
      </c>
      <c r="H772" s="54">
        <v>0</v>
      </c>
      <c r="I772" t="s">
        <v>2881</v>
      </c>
      <c r="J772" s="31">
        <v>942.37</v>
      </c>
      <c r="K772" s="36" t="s">
        <v>1306</v>
      </c>
      <c r="L772" t="s">
        <v>2504</v>
      </c>
      <c r="M772" t="s">
        <v>4852</v>
      </c>
      <c r="N772" t="s">
        <v>1341</v>
      </c>
      <c r="O772" t="s">
        <v>67</v>
      </c>
      <c r="Q772" s="23">
        <v>46281.560380196759</v>
      </c>
      <c r="R772" s="32">
        <f>IF(OR(tbl_de_massas[[#This Row],[dia_vencimento]]="", tbl_de_massas[[#This Row],[dia_vencimento]]="--"), "", WORKDAY(tbl_de_massas[[#This Row],[dia_vencimento]], 5))</f>
        <v>19</v>
      </c>
    </row>
    <row r="773" spans="1:18" x14ac:dyDescent="0.25">
      <c r="A773" t="s">
        <v>4853</v>
      </c>
      <c r="B773" t="s">
        <v>4854</v>
      </c>
      <c r="C773" s="32" t="s">
        <v>2921</v>
      </c>
      <c r="D773" t="s">
        <v>4855</v>
      </c>
      <c r="E773" s="54">
        <v>10747.99</v>
      </c>
      <c r="F773" s="54">
        <v>4945.34</v>
      </c>
      <c r="G773" s="54">
        <v>13289.14</v>
      </c>
      <c r="H773" s="54">
        <v>3870.86</v>
      </c>
      <c r="I773" t="s">
        <v>2877</v>
      </c>
      <c r="J773" s="31">
        <v>4945.34</v>
      </c>
      <c r="K773" s="36" t="s">
        <v>2675</v>
      </c>
      <c r="L773" t="s">
        <v>2502</v>
      </c>
      <c r="M773" t="s">
        <v>4856</v>
      </c>
      <c r="N773" t="s">
        <v>1345</v>
      </c>
      <c r="O773" t="s">
        <v>67</v>
      </c>
      <c r="Q773" s="23">
        <v>46281.560382118056</v>
      </c>
      <c r="R773" s="32">
        <f>IF(OR(tbl_de_massas[[#This Row],[dia_vencimento]]="", tbl_de_massas[[#This Row],[dia_vencimento]]="--"), "", WORKDAY(tbl_de_massas[[#This Row],[dia_vencimento]], 5))</f>
        <v>13</v>
      </c>
    </row>
    <row r="774" spans="1:18" x14ac:dyDescent="0.25">
      <c r="A774" t="s">
        <v>4857</v>
      </c>
      <c r="B774" t="s">
        <v>4858</v>
      </c>
      <c r="C774" s="32" t="s">
        <v>5829</v>
      </c>
      <c r="D774" t="s">
        <v>4859</v>
      </c>
      <c r="E774" s="54">
        <v>15218.02</v>
      </c>
      <c r="F774" s="54">
        <v>0</v>
      </c>
      <c r="G774" s="54">
        <v>20823.060000000001</v>
      </c>
      <c r="H774" s="54">
        <v>0</v>
      </c>
      <c r="I774" t="s">
        <v>2881</v>
      </c>
      <c r="J774" s="31">
        <v>894.41</v>
      </c>
      <c r="K774" s="36" t="s">
        <v>1306</v>
      </c>
      <c r="L774" t="s">
        <v>2504</v>
      </c>
      <c r="M774" t="s">
        <v>67</v>
      </c>
      <c r="O774" t="s">
        <v>4860</v>
      </c>
      <c r="P774" t="s">
        <v>1341</v>
      </c>
      <c r="Q774" s="23">
        <v>46281.560384340279</v>
      </c>
      <c r="R774" s="32">
        <f>IF(OR(tbl_de_massas[[#This Row],[dia_vencimento]]="", tbl_de_massas[[#This Row],[dia_vencimento]]="--"), "", WORKDAY(tbl_de_massas[[#This Row],[dia_vencimento]], 5))</f>
        <v>30</v>
      </c>
    </row>
    <row r="775" spans="1:18" x14ac:dyDescent="0.25">
      <c r="A775" t="s">
        <v>4861</v>
      </c>
      <c r="B775" t="s">
        <v>4862</v>
      </c>
      <c r="C775" s="32" t="s">
        <v>2675</v>
      </c>
      <c r="D775" t="s">
        <v>4863</v>
      </c>
      <c r="E775" s="54">
        <v>10743.1</v>
      </c>
      <c r="F775" s="54">
        <v>5054.67</v>
      </c>
      <c r="G775" s="54">
        <v>-2827.07</v>
      </c>
      <c r="H775" s="54">
        <v>3870.86</v>
      </c>
      <c r="I775" t="s">
        <v>2877</v>
      </c>
      <c r="J775" s="31">
        <v>5054.67</v>
      </c>
      <c r="K775" s="36" t="s">
        <v>2675</v>
      </c>
      <c r="L775" t="s">
        <v>2502</v>
      </c>
      <c r="M775" t="s">
        <v>4864</v>
      </c>
      <c r="N775" t="s">
        <v>1341</v>
      </c>
      <c r="O775" t="s">
        <v>4865</v>
      </c>
      <c r="P775" t="s">
        <v>1341</v>
      </c>
      <c r="Q775" s="23">
        <v>46281.560386168981</v>
      </c>
      <c r="R775" s="32">
        <f>IF(OR(tbl_de_massas[[#This Row],[dia_vencimento]]="", tbl_de_massas[[#This Row],[dia_vencimento]]="--"), "", WORKDAY(tbl_de_massas[[#This Row],[dia_vencimento]], 5))</f>
        <v>23</v>
      </c>
    </row>
    <row r="776" spans="1:18" x14ac:dyDescent="0.25">
      <c r="A776" t="s">
        <v>4866</v>
      </c>
      <c r="B776" t="s">
        <v>4867</v>
      </c>
      <c r="C776" s="32" t="s">
        <v>5827</v>
      </c>
      <c r="D776" t="s">
        <v>4868</v>
      </c>
      <c r="E776" s="54">
        <v>3569.26</v>
      </c>
      <c r="F776" s="54">
        <v>752.98</v>
      </c>
      <c r="G776" s="54">
        <v>1868.78</v>
      </c>
      <c r="H776" s="54">
        <v>0</v>
      </c>
      <c r="I776" t="s">
        <v>2881</v>
      </c>
      <c r="J776" s="31">
        <v>752.98</v>
      </c>
      <c r="K776" s="36" t="s">
        <v>1306</v>
      </c>
      <c r="L776" t="s">
        <v>2504</v>
      </c>
      <c r="M776" t="s">
        <v>67</v>
      </c>
      <c r="O776" t="s">
        <v>4869</v>
      </c>
      <c r="P776" t="s">
        <v>1341</v>
      </c>
      <c r="Q776" s="23">
        <v>46281.560388310187</v>
      </c>
      <c r="R776" s="32">
        <f>IF(OR(tbl_de_massas[[#This Row],[dia_vencimento]]="", tbl_de_massas[[#This Row],[dia_vencimento]]="--"), "", WORKDAY(tbl_de_massas[[#This Row],[dia_vencimento]], 5))</f>
        <v>12</v>
      </c>
    </row>
    <row r="777" spans="1:18" x14ac:dyDescent="0.25">
      <c r="A777" t="s">
        <v>4870</v>
      </c>
      <c r="B777" t="s">
        <v>4871</v>
      </c>
      <c r="C777" s="32" t="s">
        <v>5835</v>
      </c>
      <c r="D777" t="s">
        <v>4872</v>
      </c>
      <c r="E777" s="54">
        <v>9002.44</v>
      </c>
      <c r="F777" s="54">
        <v>4998.1899999999996</v>
      </c>
      <c r="G777" s="54">
        <v>16303.62</v>
      </c>
      <c r="H777" s="54">
        <v>3870.86</v>
      </c>
      <c r="I777" t="s">
        <v>2877</v>
      </c>
      <c r="J777" s="31">
        <v>4998.1899999999996</v>
      </c>
      <c r="K777" s="36" t="s">
        <v>2675</v>
      </c>
      <c r="L777" t="s">
        <v>2502</v>
      </c>
      <c r="M777" t="s">
        <v>4873</v>
      </c>
      <c r="N777" t="s">
        <v>1341</v>
      </c>
      <c r="O777" t="s">
        <v>4874</v>
      </c>
      <c r="P777" t="s">
        <v>1341</v>
      </c>
      <c r="Q777" s="23">
        <v>46281.560389988423</v>
      </c>
      <c r="R777" s="32">
        <f>IF(OR(tbl_de_massas[[#This Row],[dia_vencimento]]="", tbl_de_massas[[#This Row],[dia_vencimento]]="--"), "", WORKDAY(tbl_de_massas[[#This Row],[dia_vencimento]], 5))</f>
        <v>25</v>
      </c>
    </row>
    <row r="778" spans="1:18" x14ac:dyDescent="0.25">
      <c r="A778" t="s">
        <v>4875</v>
      </c>
      <c r="B778" t="s">
        <v>4876</v>
      </c>
      <c r="C778" s="32" t="s">
        <v>2917</v>
      </c>
      <c r="D778" t="s">
        <v>4877</v>
      </c>
      <c r="E778" s="54">
        <v>2476.92</v>
      </c>
      <c r="F778" s="54">
        <v>0</v>
      </c>
      <c r="G778" s="54">
        <v>3586.99</v>
      </c>
      <c r="H778" s="54">
        <v>0</v>
      </c>
      <c r="I778" t="s">
        <v>2881</v>
      </c>
      <c r="J778" s="31">
        <v>976.99</v>
      </c>
      <c r="K778" s="36" t="s">
        <v>1306</v>
      </c>
      <c r="L778" t="s">
        <v>2504</v>
      </c>
      <c r="M778" t="s">
        <v>4878</v>
      </c>
      <c r="N778" t="s">
        <v>1341</v>
      </c>
      <c r="O778" t="s">
        <v>67</v>
      </c>
      <c r="Q778" s="23">
        <v>46281.560392164349</v>
      </c>
      <c r="R778" s="32">
        <f>IF(OR(tbl_de_massas[[#This Row],[dia_vencimento]]="", tbl_de_massas[[#This Row],[dia_vencimento]]="--"), "", WORKDAY(tbl_de_massas[[#This Row],[dia_vencimento]], 5))</f>
        <v>27</v>
      </c>
    </row>
    <row r="779" spans="1:18" x14ac:dyDescent="0.25">
      <c r="A779" t="s">
        <v>4879</v>
      </c>
      <c r="B779" t="s">
        <v>4880</v>
      </c>
      <c r="C779" s="32" t="s">
        <v>5827</v>
      </c>
      <c r="D779" t="s">
        <v>4881</v>
      </c>
      <c r="E779" s="54">
        <v>12366.16</v>
      </c>
      <c r="F779" s="54">
        <v>4720.16</v>
      </c>
      <c r="G779" s="54">
        <v>14127.99</v>
      </c>
      <c r="H779" s="54">
        <v>3870.86</v>
      </c>
      <c r="I779" t="s">
        <v>2877</v>
      </c>
      <c r="J779" s="31">
        <v>4720.16</v>
      </c>
      <c r="K779" s="36" t="s">
        <v>2675</v>
      </c>
      <c r="L779" t="s">
        <v>2502</v>
      </c>
      <c r="M779" t="s">
        <v>4882</v>
      </c>
      <c r="N779" t="s">
        <v>1341</v>
      </c>
      <c r="O779" t="s">
        <v>67</v>
      </c>
      <c r="Q779" s="23">
        <v>46281.560393969907</v>
      </c>
      <c r="R779" s="32">
        <f>IF(OR(tbl_de_massas[[#This Row],[dia_vencimento]]="", tbl_de_massas[[#This Row],[dia_vencimento]]="--"), "", WORKDAY(tbl_de_massas[[#This Row],[dia_vencimento]], 5))</f>
        <v>12</v>
      </c>
    </row>
    <row r="780" spans="1:18" x14ac:dyDescent="0.25">
      <c r="A780" t="s">
        <v>4883</v>
      </c>
      <c r="B780" t="s">
        <v>4884</v>
      </c>
      <c r="C780" s="32" t="s">
        <v>2922</v>
      </c>
      <c r="D780" t="s">
        <v>4885</v>
      </c>
      <c r="E780" s="54">
        <v>14826.69</v>
      </c>
      <c r="F780" s="54">
        <v>407.73</v>
      </c>
      <c r="G780" s="54">
        <v>19374.32</v>
      </c>
      <c r="H780" s="54">
        <v>0</v>
      </c>
      <c r="I780" t="s">
        <v>2881</v>
      </c>
      <c r="J780" s="31">
        <v>407.73</v>
      </c>
      <c r="K780" s="36" t="s">
        <v>1306</v>
      </c>
      <c r="L780" t="s">
        <v>2504</v>
      </c>
      <c r="M780" t="s">
        <v>67</v>
      </c>
      <c r="O780" t="s">
        <v>4886</v>
      </c>
      <c r="P780" t="s">
        <v>1341</v>
      </c>
      <c r="Q780" s="23">
        <v>46281.560396006942</v>
      </c>
      <c r="R780" s="32">
        <f>IF(OR(tbl_de_massas[[#This Row],[dia_vencimento]]="", tbl_de_massas[[#This Row],[dia_vencimento]]="--"), "", WORKDAY(tbl_de_massas[[#This Row],[dia_vencimento]], 5))</f>
        <v>6</v>
      </c>
    </row>
    <row r="781" spans="1:18" x14ac:dyDescent="0.25">
      <c r="A781" t="s">
        <v>4887</v>
      </c>
      <c r="B781" t="s">
        <v>4888</v>
      </c>
      <c r="C781" s="32" t="s">
        <v>5828</v>
      </c>
      <c r="D781" t="s">
        <v>4889</v>
      </c>
      <c r="E781" s="54">
        <v>521.95000000000005</v>
      </c>
      <c r="F781" s="54">
        <v>0</v>
      </c>
      <c r="G781" s="54">
        <v>9488</v>
      </c>
      <c r="H781" s="54">
        <v>0</v>
      </c>
      <c r="I781" t="s">
        <v>2881</v>
      </c>
      <c r="J781" s="31">
        <v>968.74</v>
      </c>
      <c r="K781" s="36" t="s">
        <v>1306</v>
      </c>
      <c r="L781" t="s">
        <v>2504</v>
      </c>
      <c r="M781" t="s">
        <v>4890</v>
      </c>
      <c r="N781" t="s">
        <v>1341</v>
      </c>
      <c r="O781" t="s">
        <v>4891</v>
      </c>
      <c r="P781" t="s">
        <v>1341</v>
      </c>
      <c r="Q781" s="23">
        <v>46281.560397847221</v>
      </c>
      <c r="R781" s="32">
        <f>IF(OR(tbl_de_massas[[#This Row],[dia_vencimento]]="", tbl_de_massas[[#This Row],[dia_vencimento]]="--"), "", WORKDAY(tbl_de_massas[[#This Row],[dia_vencimento]], 5))</f>
        <v>33</v>
      </c>
    </row>
    <row r="782" spans="1:18" x14ac:dyDescent="0.25">
      <c r="A782" t="s">
        <v>4892</v>
      </c>
      <c r="B782" t="s">
        <v>4893</v>
      </c>
      <c r="C782" s="32" t="s">
        <v>2360</v>
      </c>
      <c r="D782" t="s">
        <v>4894</v>
      </c>
      <c r="E782" s="54">
        <v>1263.29</v>
      </c>
      <c r="F782" s="54">
        <v>5095.6499999999996</v>
      </c>
      <c r="G782" s="54">
        <v>9356.39</v>
      </c>
      <c r="H782" s="54">
        <v>3870.86</v>
      </c>
      <c r="I782" t="s">
        <v>2877</v>
      </c>
      <c r="J782" s="31">
        <v>5095.6499999999996</v>
      </c>
      <c r="K782" s="36" t="s">
        <v>2675</v>
      </c>
      <c r="L782" t="s">
        <v>2502</v>
      </c>
      <c r="M782" t="s">
        <v>4895</v>
      </c>
      <c r="N782" t="s">
        <v>1341</v>
      </c>
      <c r="O782" t="s">
        <v>67</v>
      </c>
      <c r="Q782" s="23">
        <v>46281.560399675924</v>
      </c>
      <c r="R782" s="32">
        <f>IF(OR(tbl_de_massas[[#This Row],[dia_vencimento]]="", tbl_de_massas[[#This Row],[dia_vencimento]]="--"), "", WORKDAY(tbl_de_massas[[#This Row],[dia_vencimento]], 5))</f>
        <v>19</v>
      </c>
    </row>
    <row r="783" spans="1:18" x14ac:dyDescent="0.25">
      <c r="A783" t="s">
        <v>4896</v>
      </c>
      <c r="B783" t="s">
        <v>4897</v>
      </c>
      <c r="C783" s="32" t="s">
        <v>5834</v>
      </c>
      <c r="D783" t="s">
        <v>4898</v>
      </c>
      <c r="E783" s="54">
        <v>10388.23</v>
      </c>
      <c r="F783" s="54">
        <v>561.63</v>
      </c>
      <c r="G783" s="54">
        <v>14152.45</v>
      </c>
      <c r="H783" s="54">
        <v>0</v>
      </c>
      <c r="I783" t="s">
        <v>2881</v>
      </c>
      <c r="J783" s="31">
        <v>561.63</v>
      </c>
      <c r="K783" s="36" t="s">
        <v>1306</v>
      </c>
      <c r="L783" t="s">
        <v>2504</v>
      </c>
      <c r="M783" t="s">
        <v>4899</v>
      </c>
      <c r="N783" t="s">
        <v>1345</v>
      </c>
      <c r="O783" t="s">
        <v>67</v>
      </c>
      <c r="Q783" s="23">
        <v>46281.56040170139</v>
      </c>
      <c r="R783" s="32">
        <f>IF(OR(tbl_de_massas[[#This Row],[dia_vencimento]]="", tbl_de_massas[[#This Row],[dia_vencimento]]="--"), "", WORKDAY(tbl_de_massas[[#This Row],[dia_vencimento]], 5))</f>
        <v>10</v>
      </c>
    </row>
    <row r="784" spans="1:18" x14ac:dyDescent="0.25">
      <c r="A784" t="s">
        <v>4900</v>
      </c>
      <c r="B784" t="s">
        <v>4901</v>
      </c>
      <c r="C784" s="32" t="s">
        <v>5832</v>
      </c>
      <c r="D784" t="s">
        <v>4902</v>
      </c>
      <c r="E784" s="54">
        <v>4250.95</v>
      </c>
      <c r="F784" s="54">
        <v>4703.6099999999997</v>
      </c>
      <c r="G784" s="54">
        <v>14717.95</v>
      </c>
      <c r="H784" s="54">
        <v>3870.86</v>
      </c>
      <c r="I784" t="s">
        <v>2877</v>
      </c>
      <c r="J784" s="31">
        <v>4703.6099999999997</v>
      </c>
      <c r="K784" s="36" t="s">
        <v>2675</v>
      </c>
      <c r="L784" t="s">
        <v>2502</v>
      </c>
      <c r="M784" t="s">
        <v>4903</v>
      </c>
      <c r="N784" t="s">
        <v>1341</v>
      </c>
      <c r="O784" t="s">
        <v>67</v>
      </c>
      <c r="Q784" s="23">
        <v>46281.560403657408</v>
      </c>
      <c r="R784" s="32">
        <f>IF(OR(tbl_de_massas[[#This Row],[dia_vencimento]]="", tbl_de_massas[[#This Row],[dia_vencimento]]="--"), "", WORKDAY(tbl_de_massas[[#This Row],[dia_vencimento]], 5))</f>
        <v>27</v>
      </c>
    </row>
    <row r="785" spans="1:18" x14ac:dyDescent="0.25">
      <c r="A785" t="s">
        <v>4904</v>
      </c>
      <c r="B785" t="s">
        <v>4905</v>
      </c>
      <c r="C785" s="32" t="s">
        <v>5831</v>
      </c>
      <c r="D785" t="s">
        <v>4906</v>
      </c>
      <c r="E785" s="54">
        <v>5602.27</v>
      </c>
      <c r="F785" s="54">
        <v>4859.6499999999996</v>
      </c>
      <c r="G785" s="54">
        <v>853.81</v>
      </c>
      <c r="H785" s="54">
        <v>3870.86</v>
      </c>
      <c r="I785" t="s">
        <v>2877</v>
      </c>
      <c r="J785" s="31">
        <v>4859.6499999999996</v>
      </c>
      <c r="K785" s="36" t="s">
        <v>2675</v>
      </c>
      <c r="L785" t="s">
        <v>2502</v>
      </c>
      <c r="M785" t="s">
        <v>4907</v>
      </c>
      <c r="N785" t="s">
        <v>1341</v>
      </c>
      <c r="O785" t="s">
        <v>67</v>
      </c>
      <c r="Q785" s="23">
        <v>46281.560405821758</v>
      </c>
      <c r="R785" s="32">
        <f>IF(OR(tbl_de_massas[[#This Row],[dia_vencimento]]="", tbl_de_massas[[#This Row],[dia_vencimento]]="--"), "", WORKDAY(tbl_de_massas[[#This Row],[dia_vencimento]], 5))</f>
        <v>16</v>
      </c>
    </row>
    <row r="786" spans="1:18" x14ac:dyDescent="0.25">
      <c r="A786" t="s">
        <v>4908</v>
      </c>
      <c r="B786" t="s">
        <v>4909</v>
      </c>
      <c r="C786" s="32" t="s">
        <v>5836</v>
      </c>
      <c r="D786" t="s">
        <v>4910</v>
      </c>
      <c r="E786" s="54">
        <v>10116.129999999999</v>
      </c>
      <c r="F786" s="54">
        <v>4893.82</v>
      </c>
      <c r="G786" s="54">
        <v>-1698.58</v>
      </c>
      <c r="H786" s="54">
        <v>3870.86</v>
      </c>
      <c r="I786" t="s">
        <v>2877</v>
      </c>
      <c r="J786" s="31">
        <v>4893.82</v>
      </c>
      <c r="K786" s="36" t="s">
        <v>2675</v>
      </c>
      <c r="L786" t="s">
        <v>2502</v>
      </c>
      <c r="M786" t="s">
        <v>4911</v>
      </c>
      <c r="N786" t="s">
        <v>1341</v>
      </c>
      <c r="O786" t="s">
        <v>67</v>
      </c>
      <c r="Q786" s="23">
        <v>46281.560407847224</v>
      </c>
      <c r="R786" s="32">
        <f>IF(OR(tbl_de_massas[[#This Row],[dia_vencimento]]="", tbl_de_massas[[#This Row],[dia_vencimento]]="--"), "", WORKDAY(tbl_de_massas[[#This Row],[dia_vencimento]], 5))</f>
        <v>34</v>
      </c>
    </row>
    <row r="787" spans="1:18" x14ac:dyDescent="0.25">
      <c r="A787" t="s">
        <v>4912</v>
      </c>
      <c r="B787" t="s">
        <v>4913</v>
      </c>
      <c r="C787" s="32" t="s">
        <v>5836</v>
      </c>
      <c r="D787" t="s">
        <v>4914</v>
      </c>
      <c r="E787" s="54">
        <v>14218.44</v>
      </c>
      <c r="F787" s="54">
        <v>0</v>
      </c>
      <c r="G787" s="54">
        <v>14740.54</v>
      </c>
      <c r="H787" s="54">
        <v>0</v>
      </c>
      <c r="I787" t="s">
        <v>2881</v>
      </c>
      <c r="J787" s="31">
        <v>549.67999999999995</v>
      </c>
      <c r="K787" s="36" t="s">
        <v>1306</v>
      </c>
      <c r="L787" t="s">
        <v>2504</v>
      </c>
      <c r="M787" t="s">
        <v>4915</v>
      </c>
      <c r="N787" t="s">
        <v>1345</v>
      </c>
      <c r="O787" t="s">
        <v>4916</v>
      </c>
      <c r="P787" t="s">
        <v>1345</v>
      </c>
      <c r="Q787" s="23">
        <v>46281.560410138889</v>
      </c>
      <c r="R787" s="32">
        <f>IF(OR(tbl_de_massas[[#This Row],[dia_vencimento]]="", tbl_de_massas[[#This Row],[dia_vencimento]]="--"), "", WORKDAY(tbl_de_massas[[#This Row],[dia_vencimento]], 5))</f>
        <v>34</v>
      </c>
    </row>
    <row r="788" spans="1:18" x14ac:dyDescent="0.25">
      <c r="A788" t="s">
        <v>4917</v>
      </c>
      <c r="B788" t="s">
        <v>4918</v>
      </c>
      <c r="C788" s="32" t="s">
        <v>5835</v>
      </c>
      <c r="D788" t="s">
        <v>4919</v>
      </c>
      <c r="E788" s="54">
        <v>8473.8799999999992</v>
      </c>
      <c r="F788" s="54">
        <v>5081.53</v>
      </c>
      <c r="G788" s="54">
        <v>13112.64</v>
      </c>
      <c r="H788" s="54">
        <v>3870.86</v>
      </c>
      <c r="I788" t="s">
        <v>2877</v>
      </c>
      <c r="J788" s="31">
        <v>5081.53</v>
      </c>
      <c r="K788" s="36" t="s">
        <v>2675</v>
      </c>
      <c r="L788" t="s">
        <v>2502</v>
      </c>
      <c r="M788" t="s">
        <v>4920</v>
      </c>
      <c r="N788" t="s">
        <v>1345</v>
      </c>
      <c r="O788" t="s">
        <v>4921</v>
      </c>
      <c r="P788" t="s">
        <v>1345</v>
      </c>
      <c r="Q788" s="23">
        <v>46281.560411921295</v>
      </c>
      <c r="R788" s="32">
        <f>IF(OR(tbl_de_massas[[#This Row],[dia_vencimento]]="", tbl_de_massas[[#This Row],[dia_vencimento]]="--"), "", WORKDAY(tbl_de_massas[[#This Row],[dia_vencimento]], 5))</f>
        <v>25</v>
      </c>
    </row>
    <row r="789" spans="1:18" x14ac:dyDescent="0.25">
      <c r="A789" t="s">
        <v>4922</v>
      </c>
      <c r="B789" t="s">
        <v>4923</v>
      </c>
      <c r="C789" s="32" t="s">
        <v>5837</v>
      </c>
      <c r="D789" t="s">
        <v>4924</v>
      </c>
      <c r="E789" s="54">
        <v>13531.28</v>
      </c>
      <c r="F789" s="54">
        <v>4739.8100000000004</v>
      </c>
      <c r="G789" s="54">
        <v>3502.52</v>
      </c>
      <c r="H789" s="54">
        <v>3870.86</v>
      </c>
      <c r="I789" t="s">
        <v>2877</v>
      </c>
      <c r="J789" s="31">
        <v>4739.8100000000004</v>
      </c>
      <c r="K789" s="36" t="s">
        <v>2675</v>
      </c>
      <c r="L789" t="s">
        <v>2502</v>
      </c>
      <c r="M789" t="s">
        <v>4925</v>
      </c>
      <c r="N789" t="s">
        <v>1341</v>
      </c>
      <c r="O789" t="s">
        <v>67</v>
      </c>
      <c r="Q789" s="23">
        <v>46281.560413969906</v>
      </c>
      <c r="R789" s="32">
        <f>IF(OR(tbl_de_massas[[#This Row],[dia_vencimento]]="", tbl_de_massas[[#This Row],[dia_vencimento]]="--"), "", WORKDAY(tbl_de_massas[[#This Row],[dia_vencimento]], 5))</f>
        <v>9</v>
      </c>
    </row>
    <row r="790" spans="1:18" x14ac:dyDescent="0.25">
      <c r="A790" t="s">
        <v>4926</v>
      </c>
      <c r="B790" t="s">
        <v>4927</v>
      </c>
      <c r="C790" s="32" t="s">
        <v>2361</v>
      </c>
      <c r="D790" t="s">
        <v>4928</v>
      </c>
      <c r="E790" s="54">
        <v>2654.42</v>
      </c>
      <c r="F790" s="54">
        <v>811.07</v>
      </c>
      <c r="G790" s="54">
        <v>14892.58</v>
      </c>
      <c r="H790" s="54">
        <v>0</v>
      </c>
      <c r="I790" t="s">
        <v>2881</v>
      </c>
      <c r="J790" s="31">
        <v>811.07</v>
      </c>
      <c r="K790" s="36" t="s">
        <v>1306</v>
      </c>
      <c r="L790" t="s">
        <v>2504</v>
      </c>
      <c r="M790" t="s">
        <v>4929</v>
      </c>
      <c r="N790" t="s">
        <v>1341</v>
      </c>
      <c r="O790" t="s">
        <v>67</v>
      </c>
      <c r="Q790" s="23">
        <v>46281.560416273147</v>
      </c>
      <c r="R790" s="32">
        <f>IF(OR(tbl_de_massas[[#This Row],[dia_vencimento]]="", tbl_de_massas[[#This Row],[dia_vencimento]]="--"), "", WORKDAY(tbl_de_massas[[#This Row],[dia_vencimento]], 5))</f>
        <v>20</v>
      </c>
    </row>
    <row r="791" spans="1:18" x14ac:dyDescent="0.25">
      <c r="A791" t="s">
        <v>4930</v>
      </c>
      <c r="B791" t="s">
        <v>4931</v>
      </c>
      <c r="C791" s="32" t="s">
        <v>611</v>
      </c>
      <c r="D791" t="s">
        <v>4932</v>
      </c>
      <c r="E791" s="54">
        <v>13077.15</v>
      </c>
      <c r="F791" s="54">
        <v>0</v>
      </c>
      <c r="G791" s="54">
        <v>4907.97</v>
      </c>
      <c r="H791" s="54">
        <v>0</v>
      </c>
      <c r="I791" t="s">
        <v>2881</v>
      </c>
      <c r="J791" s="31">
        <v>409.45</v>
      </c>
      <c r="K791" s="36" t="s">
        <v>1306</v>
      </c>
      <c r="L791" t="s">
        <v>2504</v>
      </c>
      <c r="M791" t="s">
        <v>4933</v>
      </c>
      <c r="N791" t="s">
        <v>1341</v>
      </c>
      <c r="O791" t="s">
        <v>67</v>
      </c>
      <c r="Q791" s="23">
        <v>46281.560418113426</v>
      </c>
      <c r="R791" s="32">
        <f>IF(OR(tbl_de_massas[[#This Row],[dia_vencimento]]="", tbl_de_massas[[#This Row],[dia_vencimento]]="--"), "", WORKDAY(tbl_de_massas[[#This Row],[dia_vencimento]], 5))</f>
        <v>32</v>
      </c>
    </row>
    <row r="792" spans="1:18" x14ac:dyDescent="0.25">
      <c r="A792" t="s">
        <v>4934</v>
      </c>
      <c r="B792" t="s">
        <v>4935</v>
      </c>
      <c r="C792" s="32" t="s">
        <v>2924</v>
      </c>
      <c r="D792" t="s">
        <v>4936</v>
      </c>
      <c r="E792" s="54">
        <v>7737.08</v>
      </c>
      <c r="F792" s="54">
        <v>183.41</v>
      </c>
      <c r="G792" s="54">
        <v>3228.73</v>
      </c>
      <c r="H792" s="54">
        <v>0</v>
      </c>
      <c r="I792" t="s">
        <v>2881</v>
      </c>
      <c r="J792" s="31">
        <v>550.24</v>
      </c>
      <c r="K792" s="36" t="s">
        <v>1306</v>
      </c>
      <c r="L792" t="s">
        <v>2504</v>
      </c>
      <c r="M792" t="s">
        <v>4937</v>
      </c>
      <c r="N792" t="s">
        <v>1341</v>
      </c>
      <c r="O792" t="s">
        <v>4938</v>
      </c>
      <c r="P792" t="s">
        <v>1341</v>
      </c>
      <c r="Q792" s="23">
        <v>46281.56041982639</v>
      </c>
      <c r="R792" s="32">
        <f>IF(OR(tbl_de_massas[[#This Row],[dia_vencimento]]="", tbl_de_massas[[#This Row],[dia_vencimento]]="--"), "", WORKDAY(tbl_de_massas[[#This Row],[dia_vencimento]], 5))</f>
        <v>26</v>
      </c>
    </row>
    <row r="793" spans="1:18" x14ac:dyDescent="0.25">
      <c r="A793" t="s">
        <v>4939</v>
      </c>
      <c r="B793" t="s">
        <v>4940</v>
      </c>
      <c r="C793" s="32" t="s">
        <v>5839</v>
      </c>
      <c r="D793" t="s">
        <v>4941</v>
      </c>
      <c r="E793" s="54">
        <v>1244.79</v>
      </c>
      <c r="F793" s="54">
        <v>4939.8100000000004</v>
      </c>
      <c r="G793" s="54">
        <v>16022.57</v>
      </c>
      <c r="H793" s="54">
        <v>3870.86</v>
      </c>
      <c r="I793" t="s">
        <v>2877</v>
      </c>
      <c r="J793" s="31">
        <v>4939.8100000000004</v>
      </c>
      <c r="K793" s="36" t="s">
        <v>2675</v>
      </c>
      <c r="L793" t="s">
        <v>2502</v>
      </c>
      <c r="M793" t="s">
        <v>4942</v>
      </c>
      <c r="N793" t="s">
        <v>1345</v>
      </c>
      <c r="O793" t="s">
        <v>67</v>
      </c>
      <c r="Q793" s="23">
        <v>46281.560421736111</v>
      </c>
      <c r="R793" s="32">
        <f>IF(OR(tbl_de_massas[[#This Row],[dia_vencimento]]="", tbl_de_massas[[#This Row],[dia_vencimento]]="--"), "", WORKDAY(tbl_de_massas[[#This Row],[dia_vencimento]], 5))</f>
        <v>31</v>
      </c>
    </row>
    <row r="794" spans="1:18" x14ac:dyDescent="0.25">
      <c r="A794" t="s">
        <v>4943</v>
      </c>
      <c r="B794" t="s">
        <v>4944</v>
      </c>
      <c r="C794" s="32" t="s">
        <v>5839</v>
      </c>
      <c r="D794" t="s">
        <v>4945</v>
      </c>
      <c r="E794" s="54">
        <v>4560.17</v>
      </c>
      <c r="F794" s="54">
        <v>0</v>
      </c>
      <c r="G794" s="54">
        <v>17495.34</v>
      </c>
      <c r="H794" s="54">
        <v>0</v>
      </c>
      <c r="I794" t="s">
        <v>2881</v>
      </c>
      <c r="J794" s="31">
        <v>960.39</v>
      </c>
      <c r="K794" s="36" t="s">
        <v>1306</v>
      </c>
      <c r="L794" t="s">
        <v>2504</v>
      </c>
      <c r="M794" t="s">
        <v>4946</v>
      </c>
      <c r="N794" t="s">
        <v>1341</v>
      </c>
      <c r="O794" t="s">
        <v>67</v>
      </c>
      <c r="Q794" s="23">
        <v>46281.560423935189</v>
      </c>
      <c r="R794" s="32">
        <f>IF(OR(tbl_de_massas[[#This Row],[dia_vencimento]]="", tbl_de_massas[[#This Row],[dia_vencimento]]="--"), "", WORKDAY(tbl_de_massas[[#This Row],[dia_vencimento]], 5))</f>
        <v>31</v>
      </c>
    </row>
    <row r="795" spans="1:18" x14ac:dyDescent="0.25">
      <c r="A795" t="s">
        <v>4947</v>
      </c>
      <c r="B795" t="s">
        <v>4948</v>
      </c>
      <c r="C795" s="32" t="s">
        <v>2921</v>
      </c>
      <c r="D795" t="s">
        <v>4949</v>
      </c>
      <c r="E795" s="54">
        <v>2922.63</v>
      </c>
      <c r="F795" s="54">
        <v>920.49</v>
      </c>
      <c r="G795" s="54">
        <v>1590.34</v>
      </c>
      <c r="H795" s="54">
        <v>0</v>
      </c>
      <c r="I795" t="s">
        <v>2881</v>
      </c>
      <c r="J795" s="31">
        <v>920.49</v>
      </c>
      <c r="K795" s="36" t="s">
        <v>1306</v>
      </c>
      <c r="L795" t="s">
        <v>2504</v>
      </c>
      <c r="M795" t="s">
        <v>4950</v>
      </c>
      <c r="N795" t="s">
        <v>1345</v>
      </c>
      <c r="O795" t="s">
        <v>67</v>
      </c>
      <c r="Q795" s="23">
        <v>46281.560425659722</v>
      </c>
      <c r="R795" s="32">
        <f>IF(OR(tbl_de_massas[[#This Row],[dia_vencimento]]="", tbl_de_massas[[#This Row],[dia_vencimento]]="--"), "", WORKDAY(tbl_de_massas[[#This Row],[dia_vencimento]], 5))</f>
        <v>13</v>
      </c>
    </row>
    <row r="796" spans="1:18" x14ac:dyDescent="0.25">
      <c r="A796" t="s">
        <v>4951</v>
      </c>
      <c r="B796" t="s">
        <v>4952</v>
      </c>
      <c r="C796" s="32" t="s">
        <v>2922</v>
      </c>
      <c r="D796" t="s">
        <v>4953</v>
      </c>
      <c r="E796" s="54">
        <v>6531.31</v>
      </c>
      <c r="F796" s="54">
        <v>4716.26</v>
      </c>
      <c r="G796" s="54">
        <v>11388.41</v>
      </c>
      <c r="H796" s="54">
        <v>3870.86</v>
      </c>
      <c r="I796" t="s">
        <v>2877</v>
      </c>
      <c r="J796" s="31">
        <v>4716.26</v>
      </c>
      <c r="K796" s="36" t="s">
        <v>2675</v>
      </c>
      <c r="L796" t="s">
        <v>2502</v>
      </c>
      <c r="M796" t="s">
        <v>4954</v>
      </c>
      <c r="N796" t="s">
        <v>1341</v>
      </c>
      <c r="O796" t="s">
        <v>67</v>
      </c>
      <c r="Q796" s="23">
        <v>46281.56042746528</v>
      </c>
      <c r="R796" s="32">
        <f>IF(OR(tbl_de_massas[[#This Row],[dia_vencimento]]="", tbl_de_massas[[#This Row],[dia_vencimento]]="--"), "", WORKDAY(tbl_de_massas[[#This Row],[dia_vencimento]], 5))</f>
        <v>6</v>
      </c>
    </row>
    <row r="797" spans="1:18" x14ac:dyDescent="0.25">
      <c r="A797" t="s">
        <v>4955</v>
      </c>
      <c r="B797" t="s">
        <v>4956</v>
      </c>
      <c r="C797" s="32" t="s">
        <v>5830</v>
      </c>
      <c r="D797" t="s">
        <v>4957</v>
      </c>
      <c r="E797" s="54">
        <v>6257.98</v>
      </c>
      <c r="F797" s="54">
        <v>796.7</v>
      </c>
      <c r="G797" s="54">
        <v>8741.36</v>
      </c>
      <c r="H797" s="54">
        <v>0</v>
      </c>
      <c r="I797" t="s">
        <v>2881</v>
      </c>
      <c r="J797" s="31">
        <v>796.7</v>
      </c>
      <c r="K797" s="36" t="s">
        <v>1306</v>
      </c>
      <c r="L797" t="s">
        <v>2504</v>
      </c>
      <c r="M797" t="s">
        <v>67</v>
      </c>
      <c r="O797" t="s">
        <v>4958</v>
      </c>
      <c r="P797" t="s">
        <v>1341</v>
      </c>
      <c r="Q797" s="23">
        <v>46281.560429560188</v>
      </c>
      <c r="R797" s="32">
        <f>IF(OR(tbl_de_massas[[#This Row],[dia_vencimento]]="", tbl_de_massas[[#This Row],[dia_vencimento]]="--"), "", WORKDAY(tbl_de_massas[[#This Row],[dia_vencimento]], 5))</f>
        <v>13</v>
      </c>
    </row>
    <row r="798" spans="1:18" x14ac:dyDescent="0.25">
      <c r="A798" t="s">
        <v>4959</v>
      </c>
      <c r="B798" t="s">
        <v>4960</v>
      </c>
      <c r="C798" s="32" t="s">
        <v>5833</v>
      </c>
      <c r="D798" t="s">
        <v>4961</v>
      </c>
      <c r="E798" s="54">
        <v>8008.29</v>
      </c>
      <c r="F798" s="54">
        <v>4750.6000000000004</v>
      </c>
      <c r="G798" s="54">
        <v>13051.49</v>
      </c>
      <c r="H798" s="54">
        <v>3870.86</v>
      </c>
      <c r="I798" t="s">
        <v>2877</v>
      </c>
      <c r="J798" s="31">
        <v>4750.6000000000004</v>
      </c>
      <c r="K798" s="36" t="s">
        <v>2675</v>
      </c>
      <c r="L798" t="s">
        <v>2502</v>
      </c>
      <c r="M798" t="s">
        <v>67</v>
      </c>
      <c r="O798" t="s">
        <v>4962</v>
      </c>
      <c r="P798" t="s">
        <v>1345</v>
      </c>
      <c r="Q798" s="23">
        <v>46281.560431203703</v>
      </c>
      <c r="R798" s="32">
        <f>IF(OR(tbl_de_massas[[#This Row],[dia_vencimento]]="", tbl_de_massas[[#This Row],[dia_vencimento]]="--"), "", WORKDAY(tbl_de_massas[[#This Row],[dia_vencimento]], 5))</f>
        <v>13</v>
      </c>
    </row>
    <row r="799" spans="1:18" x14ac:dyDescent="0.25">
      <c r="A799" t="s">
        <v>4963</v>
      </c>
      <c r="B799" t="s">
        <v>4964</v>
      </c>
      <c r="C799" s="32" t="s">
        <v>608</v>
      </c>
      <c r="D799" t="s">
        <v>4965</v>
      </c>
      <c r="E799" s="54">
        <v>13536.9</v>
      </c>
      <c r="F799" s="54">
        <v>4653.3999999999996</v>
      </c>
      <c r="G799" s="54">
        <v>5766.43</v>
      </c>
      <c r="H799" s="54">
        <v>3870.86</v>
      </c>
      <c r="I799" t="s">
        <v>2877</v>
      </c>
      <c r="J799" s="31">
        <v>4653.3999999999996</v>
      </c>
      <c r="K799" s="36" t="s">
        <v>2675</v>
      </c>
      <c r="L799" t="s">
        <v>2502</v>
      </c>
      <c r="M799" t="s">
        <v>67</v>
      </c>
      <c r="O799" t="s">
        <v>4966</v>
      </c>
      <c r="P799" t="s">
        <v>1341</v>
      </c>
      <c r="Q799" s="23">
        <v>46281.560433773149</v>
      </c>
      <c r="R799" s="32">
        <f>IF(OR(tbl_de_massas[[#This Row],[dia_vencimento]]="", tbl_de_massas[[#This Row],[dia_vencimento]]="--"), "", WORKDAY(tbl_de_massas[[#This Row],[dia_vencimento]], 5))</f>
        <v>27</v>
      </c>
    </row>
    <row r="800" spans="1:18" x14ac:dyDescent="0.25">
      <c r="A800" t="s">
        <v>4967</v>
      </c>
      <c r="B800" t="s">
        <v>4968</v>
      </c>
      <c r="C800" s="32" t="s">
        <v>608</v>
      </c>
      <c r="D800" t="s">
        <v>4969</v>
      </c>
      <c r="E800" s="54">
        <v>11924.36</v>
      </c>
      <c r="F800" s="54">
        <v>0</v>
      </c>
      <c r="G800" s="54">
        <v>8201.58</v>
      </c>
      <c r="H800" s="54">
        <v>0</v>
      </c>
      <c r="I800" t="s">
        <v>2881</v>
      </c>
      <c r="J800" s="31">
        <v>569.80999999999995</v>
      </c>
      <c r="K800" s="36" t="s">
        <v>1306</v>
      </c>
      <c r="L800" t="s">
        <v>2504</v>
      </c>
      <c r="M800" t="s">
        <v>4970</v>
      </c>
      <c r="N800" t="s">
        <v>1341</v>
      </c>
      <c r="O800" t="s">
        <v>4971</v>
      </c>
      <c r="P800" t="s">
        <v>1341</v>
      </c>
      <c r="Q800" s="23">
        <v>46281.560436018517</v>
      </c>
      <c r="R800" s="32">
        <f>IF(OR(tbl_de_massas[[#This Row],[dia_vencimento]]="", tbl_de_massas[[#This Row],[dia_vencimento]]="--"), "", WORKDAY(tbl_de_massas[[#This Row],[dia_vencimento]], 5))</f>
        <v>27</v>
      </c>
    </row>
    <row r="801" spans="1:18" x14ac:dyDescent="0.25">
      <c r="A801" t="s">
        <v>4972</v>
      </c>
      <c r="B801" t="s">
        <v>4973</v>
      </c>
      <c r="C801" s="32" t="s">
        <v>5836</v>
      </c>
      <c r="D801" t="s">
        <v>4974</v>
      </c>
      <c r="E801" s="54">
        <v>7411.84</v>
      </c>
      <c r="F801" s="54">
        <v>0</v>
      </c>
      <c r="G801" s="54">
        <v>19174.34</v>
      </c>
      <c r="H801" s="54">
        <v>0</v>
      </c>
      <c r="I801" t="s">
        <v>2881</v>
      </c>
      <c r="J801" s="31">
        <v>893.34</v>
      </c>
      <c r="K801" s="36" t="s">
        <v>1306</v>
      </c>
      <c r="L801" t="s">
        <v>2504</v>
      </c>
      <c r="M801" t="s">
        <v>4975</v>
      </c>
      <c r="N801" t="s">
        <v>1341</v>
      </c>
      <c r="O801" t="s">
        <v>67</v>
      </c>
      <c r="Q801" s="23">
        <v>46281.560437812499</v>
      </c>
      <c r="R801" s="32">
        <f>IF(OR(tbl_de_massas[[#This Row],[dia_vencimento]]="", tbl_de_massas[[#This Row],[dia_vencimento]]="--"), "", WORKDAY(tbl_de_massas[[#This Row],[dia_vencimento]], 5))</f>
        <v>34</v>
      </c>
    </row>
    <row r="802" spans="1:18" x14ac:dyDescent="0.25">
      <c r="A802" t="s">
        <v>4976</v>
      </c>
      <c r="B802" t="s">
        <v>4977</v>
      </c>
      <c r="C802" s="32" t="s">
        <v>5836</v>
      </c>
      <c r="D802" t="s">
        <v>4978</v>
      </c>
      <c r="E802" s="54">
        <v>903.59</v>
      </c>
      <c r="F802" s="54">
        <v>4765.01</v>
      </c>
      <c r="G802" s="54">
        <v>13852.18</v>
      </c>
      <c r="H802" s="54">
        <v>3870.86</v>
      </c>
      <c r="I802" t="s">
        <v>2877</v>
      </c>
      <c r="J802" s="31">
        <v>4765.01</v>
      </c>
      <c r="K802" s="36" t="s">
        <v>2675</v>
      </c>
      <c r="L802" t="s">
        <v>2502</v>
      </c>
      <c r="M802" t="s">
        <v>4979</v>
      </c>
      <c r="N802" t="s">
        <v>1341</v>
      </c>
      <c r="O802" t="s">
        <v>4980</v>
      </c>
      <c r="P802" t="s">
        <v>1341</v>
      </c>
      <c r="Q802" s="23">
        <v>46281.560463981485</v>
      </c>
      <c r="R802" s="32">
        <f>IF(OR(tbl_de_massas[[#This Row],[dia_vencimento]]="", tbl_de_massas[[#This Row],[dia_vencimento]]="--"), "", WORKDAY(tbl_de_massas[[#This Row],[dia_vencimento]], 5))</f>
        <v>34</v>
      </c>
    </row>
    <row r="803" spans="1:18" x14ac:dyDescent="0.25">
      <c r="A803" t="s">
        <v>4981</v>
      </c>
      <c r="B803" t="s">
        <v>4982</v>
      </c>
      <c r="C803" s="32" t="s">
        <v>611</v>
      </c>
      <c r="D803" t="s">
        <v>4039</v>
      </c>
      <c r="E803" s="54">
        <v>4552.92</v>
      </c>
      <c r="F803" s="54">
        <v>0</v>
      </c>
      <c r="G803" s="54">
        <v>12731.28</v>
      </c>
      <c r="H803" s="54">
        <v>0</v>
      </c>
      <c r="I803" t="s">
        <v>2881</v>
      </c>
      <c r="J803" s="31">
        <v>633.87</v>
      </c>
      <c r="K803" s="36" t="s">
        <v>1306</v>
      </c>
      <c r="L803" t="s">
        <v>2504</v>
      </c>
      <c r="M803" t="s">
        <v>67</v>
      </c>
      <c r="O803" t="s">
        <v>4983</v>
      </c>
      <c r="P803" t="s">
        <v>1341</v>
      </c>
      <c r="Q803" s="23">
        <v>46281.560466111114</v>
      </c>
      <c r="R803" s="32">
        <f>IF(OR(tbl_de_massas[[#This Row],[dia_vencimento]]="", tbl_de_massas[[#This Row],[dia_vencimento]]="--"), "", WORKDAY(tbl_de_massas[[#This Row],[dia_vencimento]], 5))</f>
        <v>32</v>
      </c>
    </row>
    <row r="804" spans="1:18" x14ac:dyDescent="0.25">
      <c r="A804" t="s">
        <v>4984</v>
      </c>
      <c r="B804" t="s">
        <v>4985</v>
      </c>
      <c r="C804" s="32" t="s">
        <v>5837</v>
      </c>
      <c r="D804" t="s">
        <v>4986</v>
      </c>
      <c r="E804" s="54">
        <v>12149.16</v>
      </c>
      <c r="F804" s="54">
        <v>4707.42</v>
      </c>
      <c r="G804" s="54">
        <v>9964.17</v>
      </c>
      <c r="H804" s="54">
        <v>3870.86</v>
      </c>
      <c r="I804" t="s">
        <v>2877</v>
      </c>
      <c r="J804" s="31">
        <v>4707.42</v>
      </c>
      <c r="K804" s="36" t="s">
        <v>2675</v>
      </c>
      <c r="L804" t="s">
        <v>2502</v>
      </c>
      <c r="M804" t="s">
        <v>67</v>
      </c>
      <c r="O804" t="s">
        <v>4987</v>
      </c>
      <c r="P804" t="s">
        <v>1341</v>
      </c>
      <c r="Q804" s="23">
        <v>46281.560467824071</v>
      </c>
      <c r="R804" s="32">
        <f>IF(OR(tbl_de_massas[[#This Row],[dia_vencimento]]="", tbl_de_massas[[#This Row],[dia_vencimento]]="--"), "", WORKDAY(tbl_de_massas[[#This Row],[dia_vencimento]], 5))</f>
        <v>9</v>
      </c>
    </row>
    <row r="805" spans="1:18" x14ac:dyDescent="0.25">
      <c r="A805" t="s">
        <v>4988</v>
      </c>
      <c r="B805" t="s">
        <v>4989</v>
      </c>
      <c r="C805" s="32" t="s">
        <v>2921</v>
      </c>
      <c r="D805" t="s">
        <v>4990</v>
      </c>
      <c r="E805" s="54">
        <v>6419.5</v>
      </c>
      <c r="F805" s="54">
        <v>4653.88</v>
      </c>
      <c r="G805" s="54">
        <v>2857.32</v>
      </c>
      <c r="H805" s="54">
        <v>3870.86</v>
      </c>
      <c r="I805" t="s">
        <v>2877</v>
      </c>
      <c r="J805" s="31">
        <v>4653.88</v>
      </c>
      <c r="K805" s="36" t="s">
        <v>2675</v>
      </c>
      <c r="L805" t="s">
        <v>2502</v>
      </c>
      <c r="M805" t="s">
        <v>67</v>
      </c>
      <c r="O805" t="s">
        <v>4991</v>
      </c>
      <c r="P805" t="s">
        <v>1341</v>
      </c>
      <c r="Q805" s="23">
        <v>46281.560470104167</v>
      </c>
      <c r="R805" s="32">
        <f>IF(OR(tbl_de_massas[[#This Row],[dia_vencimento]]="", tbl_de_massas[[#This Row],[dia_vencimento]]="--"), "", WORKDAY(tbl_de_massas[[#This Row],[dia_vencimento]], 5))</f>
        <v>13</v>
      </c>
    </row>
    <row r="806" spans="1:18" x14ac:dyDescent="0.25">
      <c r="A806" t="s">
        <v>4992</v>
      </c>
      <c r="B806" t="s">
        <v>4993</v>
      </c>
      <c r="C806" s="32" t="s">
        <v>5839</v>
      </c>
      <c r="D806" t="s">
        <v>4994</v>
      </c>
      <c r="E806" s="54">
        <v>5798.54</v>
      </c>
      <c r="F806" s="54">
        <v>4870.21</v>
      </c>
      <c r="G806" s="54">
        <v>14128.1</v>
      </c>
      <c r="H806" s="54">
        <v>3870.86</v>
      </c>
      <c r="I806" t="s">
        <v>2877</v>
      </c>
      <c r="J806" s="31">
        <v>4870.21</v>
      </c>
      <c r="K806" s="36" t="s">
        <v>2675</v>
      </c>
      <c r="L806" t="s">
        <v>2502</v>
      </c>
      <c r="M806" t="s">
        <v>4995</v>
      </c>
      <c r="N806" t="s">
        <v>1341</v>
      </c>
      <c r="O806" t="s">
        <v>67</v>
      </c>
      <c r="Q806" s="23">
        <v>46281.560472141202</v>
      </c>
      <c r="R806" s="32">
        <f>IF(OR(tbl_de_massas[[#This Row],[dia_vencimento]]="", tbl_de_massas[[#This Row],[dia_vencimento]]="--"), "", WORKDAY(tbl_de_massas[[#This Row],[dia_vencimento]], 5))</f>
        <v>31</v>
      </c>
    </row>
    <row r="807" spans="1:18" x14ac:dyDescent="0.25">
      <c r="A807" t="s">
        <v>4996</v>
      </c>
      <c r="B807" t="s">
        <v>4997</v>
      </c>
      <c r="C807" s="32" t="s">
        <v>607</v>
      </c>
      <c r="D807" t="s">
        <v>4998</v>
      </c>
      <c r="E807" s="54">
        <v>8636.0499999999993</v>
      </c>
      <c r="F807" s="54">
        <v>5043.71</v>
      </c>
      <c r="G807" s="54">
        <v>11351.56</v>
      </c>
      <c r="H807" s="54">
        <v>3870.86</v>
      </c>
      <c r="I807" t="s">
        <v>2877</v>
      </c>
      <c r="J807" s="31">
        <v>5043.71</v>
      </c>
      <c r="K807" s="36" t="s">
        <v>2675</v>
      </c>
      <c r="L807" t="s">
        <v>2502</v>
      </c>
      <c r="M807" t="s">
        <v>4999</v>
      </c>
      <c r="N807" t="s">
        <v>1341</v>
      </c>
      <c r="O807" t="s">
        <v>5000</v>
      </c>
      <c r="P807" t="s">
        <v>1341</v>
      </c>
      <c r="Q807" s="23">
        <v>46281.560474293983</v>
      </c>
      <c r="R807" s="32">
        <f>IF(OR(tbl_de_massas[[#This Row],[dia_vencimento]]="", tbl_de_massas[[#This Row],[dia_vencimento]]="--"), "", WORKDAY(tbl_de_massas[[#This Row],[dia_vencimento]], 5))</f>
        <v>20</v>
      </c>
    </row>
    <row r="808" spans="1:18" x14ac:dyDescent="0.25">
      <c r="A808" t="s">
        <v>5001</v>
      </c>
      <c r="B808" t="s">
        <v>5002</v>
      </c>
      <c r="C808" s="32" t="s">
        <v>2925</v>
      </c>
      <c r="D808" t="s">
        <v>5003</v>
      </c>
      <c r="E808" s="54">
        <v>7475.02</v>
      </c>
      <c r="F808" s="54">
        <v>492.92</v>
      </c>
      <c r="G808" s="54">
        <v>5311.05</v>
      </c>
      <c r="H808" s="54">
        <v>0</v>
      </c>
      <c r="I808" t="s">
        <v>2881</v>
      </c>
      <c r="J808" s="31">
        <v>887.26</v>
      </c>
      <c r="K808" s="36" t="s">
        <v>1306</v>
      </c>
      <c r="L808" t="s">
        <v>2504</v>
      </c>
      <c r="M808" t="s">
        <v>5004</v>
      </c>
      <c r="N808" t="s">
        <v>1341</v>
      </c>
      <c r="O808" t="s">
        <v>5005</v>
      </c>
      <c r="P808" t="s">
        <v>1341</v>
      </c>
      <c r="Q808" s="23">
        <v>46281.560476608793</v>
      </c>
      <c r="R808" s="32">
        <f>IF(OR(tbl_de_massas[[#This Row],[dia_vencimento]]="", tbl_de_massas[[#This Row],[dia_vencimento]]="--"), "", WORKDAY(tbl_de_massas[[#This Row],[dia_vencimento]], 5))</f>
        <v>24</v>
      </c>
    </row>
    <row r="809" spans="1:18" x14ac:dyDescent="0.25">
      <c r="A809" t="s">
        <v>5006</v>
      </c>
      <c r="B809" t="s">
        <v>5007</v>
      </c>
      <c r="C809" s="32" t="s">
        <v>2921</v>
      </c>
      <c r="D809" t="s">
        <v>5008</v>
      </c>
      <c r="E809" s="54">
        <v>13682.07</v>
      </c>
      <c r="F809" s="54">
        <v>4845.08</v>
      </c>
      <c r="G809" s="54">
        <v>12995.15</v>
      </c>
      <c r="H809" s="54">
        <v>3870.86</v>
      </c>
      <c r="I809" t="s">
        <v>2877</v>
      </c>
      <c r="J809" s="31">
        <v>4845.08</v>
      </c>
      <c r="K809" s="36" t="s">
        <v>2675</v>
      </c>
      <c r="L809" t="s">
        <v>2502</v>
      </c>
      <c r="M809" t="s">
        <v>5009</v>
      </c>
      <c r="N809" t="s">
        <v>1345</v>
      </c>
      <c r="O809" t="s">
        <v>67</v>
      </c>
      <c r="Q809" s="23">
        <v>46281.560478449072</v>
      </c>
      <c r="R809" s="32">
        <f>IF(OR(tbl_de_massas[[#This Row],[dia_vencimento]]="", tbl_de_massas[[#This Row],[dia_vencimento]]="--"), "", WORKDAY(tbl_de_massas[[#This Row],[dia_vencimento]], 5))</f>
        <v>13</v>
      </c>
    </row>
    <row r="810" spans="1:18" x14ac:dyDescent="0.25">
      <c r="A810" t="s">
        <v>5010</v>
      </c>
      <c r="B810" t="s">
        <v>5011</v>
      </c>
      <c r="C810" s="32" t="s">
        <v>2675</v>
      </c>
      <c r="D810" t="s">
        <v>5012</v>
      </c>
      <c r="E810" s="54">
        <v>9689.4500000000007</v>
      </c>
      <c r="F810" s="54">
        <v>4712.53</v>
      </c>
      <c r="G810" s="54">
        <v>9520.61</v>
      </c>
      <c r="H810" s="54">
        <v>3870.86</v>
      </c>
      <c r="I810" t="s">
        <v>2877</v>
      </c>
      <c r="J810" s="31">
        <v>4712.53</v>
      </c>
      <c r="K810" s="36" t="s">
        <v>2675</v>
      </c>
      <c r="L810" t="s">
        <v>2502</v>
      </c>
      <c r="M810" t="s">
        <v>5013</v>
      </c>
      <c r="N810" t="s">
        <v>1345</v>
      </c>
      <c r="O810" t="s">
        <v>5014</v>
      </c>
      <c r="P810" t="s">
        <v>1345</v>
      </c>
      <c r="Q810" s="23">
        <v>46281.560480659726</v>
      </c>
      <c r="R810" s="32">
        <f>IF(OR(tbl_de_massas[[#This Row],[dia_vencimento]]="", tbl_de_massas[[#This Row],[dia_vencimento]]="--"), "", WORKDAY(tbl_de_massas[[#This Row],[dia_vencimento]], 5))</f>
        <v>23</v>
      </c>
    </row>
    <row r="811" spans="1:18" x14ac:dyDescent="0.25">
      <c r="A811" t="s">
        <v>5015</v>
      </c>
      <c r="B811" t="s">
        <v>5016</v>
      </c>
      <c r="C811" s="32" t="s">
        <v>2922</v>
      </c>
      <c r="D811" t="s">
        <v>5017</v>
      </c>
      <c r="E811" s="54">
        <v>3459.4</v>
      </c>
      <c r="F811" s="54">
        <v>449.46</v>
      </c>
      <c r="G811" s="54">
        <v>16244.96</v>
      </c>
      <c r="H811" s="54">
        <v>0</v>
      </c>
      <c r="I811" t="s">
        <v>2881</v>
      </c>
      <c r="J811" s="31">
        <v>449.46</v>
      </c>
      <c r="K811" s="36" t="s">
        <v>1306</v>
      </c>
      <c r="L811" t="s">
        <v>2504</v>
      </c>
      <c r="M811" t="s">
        <v>5018</v>
      </c>
      <c r="N811" t="s">
        <v>1341</v>
      </c>
      <c r="O811" t="s">
        <v>67</v>
      </c>
      <c r="Q811" s="23">
        <v>46281.56048270833</v>
      </c>
      <c r="R811" s="32">
        <f>IF(OR(tbl_de_massas[[#This Row],[dia_vencimento]]="", tbl_de_massas[[#This Row],[dia_vencimento]]="--"), "", WORKDAY(tbl_de_massas[[#This Row],[dia_vencimento]], 5))</f>
        <v>6</v>
      </c>
    </row>
    <row r="812" spans="1:18" x14ac:dyDescent="0.25">
      <c r="A812" t="s">
        <v>5019</v>
      </c>
      <c r="B812" t="s">
        <v>5020</v>
      </c>
      <c r="C812" s="32" t="s">
        <v>2925</v>
      </c>
      <c r="D812" t="s">
        <v>5021</v>
      </c>
      <c r="E812" s="54">
        <v>7990.23</v>
      </c>
      <c r="F812" s="54">
        <v>4640.8599999999997</v>
      </c>
      <c r="G812" s="54">
        <v>14957.31</v>
      </c>
      <c r="H812" s="54">
        <v>3870.86</v>
      </c>
      <c r="I812" t="s">
        <v>2877</v>
      </c>
      <c r="J812" s="31">
        <v>4640.8599999999997</v>
      </c>
      <c r="K812" s="36" t="s">
        <v>2675</v>
      </c>
      <c r="L812" t="s">
        <v>2502</v>
      </c>
      <c r="M812" t="s">
        <v>5022</v>
      </c>
      <c r="N812" t="s">
        <v>1345</v>
      </c>
      <c r="O812" t="s">
        <v>5023</v>
      </c>
      <c r="P812" t="s">
        <v>1345</v>
      </c>
      <c r="Q812" s="23">
        <v>46281.560484409725</v>
      </c>
      <c r="R812" s="32">
        <f>IF(OR(tbl_de_massas[[#This Row],[dia_vencimento]]="", tbl_de_massas[[#This Row],[dia_vencimento]]="--"), "", WORKDAY(tbl_de_massas[[#This Row],[dia_vencimento]], 5))</f>
        <v>24</v>
      </c>
    </row>
    <row r="813" spans="1:18" x14ac:dyDescent="0.25">
      <c r="A813" t="s">
        <v>5024</v>
      </c>
      <c r="B813" t="s">
        <v>5025</v>
      </c>
      <c r="C813" s="32" t="s">
        <v>2924</v>
      </c>
      <c r="D813" t="s">
        <v>5026</v>
      </c>
      <c r="E813" s="54">
        <v>6306.62</v>
      </c>
      <c r="F813" s="54">
        <v>4737.8599999999997</v>
      </c>
      <c r="G813" s="54">
        <v>-2395.35</v>
      </c>
      <c r="H813" s="54">
        <v>3870.86</v>
      </c>
      <c r="I813" t="s">
        <v>2877</v>
      </c>
      <c r="J813" s="31">
        <v>4737.8599999999997</v>
      </c>
      <c r="K813" s="36" t="s">
        <v>2675</v>
      </c>
      <c r="L813" t="s">
        <v>2502</v>
      </c>
      <c r="M813" t="s">
        <v>67</v>
      </c>
      <c r="O813" t="s">
        <v>5027</v>
      </c>
      <c r="P813" t="s">
        <v>1341</v>
      </c>
      <c r="Q813" s="23">
        <v>46281.560486689814</v>
      </c>
      <c r="R813" s="32">
        <f>IF(OR(tbl_de_massas[[#This Row],[dia_vencimento]]="", tbl_de_massas[[#This Row],[dia_vencimento]]="--"), "", WORKDAY(tbl_de_massas[[#This Row],[dia_vencimento]], 5))</f>
        <v>26</v>
      </c>
    </row>
    <row r="814" spans="1:18" x14ac:dyDescent="0.25">
      <c r="A814" t="s">
        <v>5028</v>
      </c>
      <c r="B814" t="s">
        <v>5029</v>
      </c>
      <c r="C814" s="32" t="s">
        <v>2917</v>
      </c>
      <c r="D814" t="s">
        <v>5030</v>
      </c>
      <c r="E814" s="54">
        <v>4303.6499999999996</v>
      </c>
      <c r="F814" s="54">
        <v>0</v>
      </c>
      <c r="G814" s="54">
        <v>8218.75</v>
      </c>
      <c r="H814" s="54">
        <v>0</v>
      </c>
      <c r="I814" t="s">
        <v>2881</v>
      </c>
      <c r="J814" s="31">
        <v>863.45</v>
      </c>
      <c r="K814" s="36" t="s">
        <v>1306</v>
      </c>
      <c r="L814" t="s">
        <v>2504</v>
      </c>
      <c r="M814" t="s">
        <v>5031</v>
      </c>
      <c r="N814" t="s">
        <v>1341</v>
      </c>
      <c r="O814" t="s">
        <v>67</v>
      </c>
      <c r="Q814" s="23">
        <v>46281.560488773146</v>
      </c>
      <c r="R814" s="32">
        <f>IF(OR(tbl_de_massas[[#This Row],[dia_vencimento]]="", tbl_de_massas[[#This Row],[dia_vencimento]]="--"), "", WORKDAY(tbl_de_massas[[#This Row],[dia_vencimento]], 5))</f>
        <v>27</v>
      </c>
    </row>
    <row r="815" spans="1:18" x14ac:dyDescent="0.25">
      <c r="A815" t="s">
        <v>5032</v>
      </c>
      <c r="B815" t="s">
        <v>5033</v>
      </c>
      <c r="C815" s="32" t="s">
        <v>2921</v>
      </c>
      <c r="D815" t="s">
        <v>5034</v>
      </c>
      <c r="E815" s="54">
        <v>11355.3</v>
      </c>
      <c r="F815" s="54">
        <v>553.66999999999996</v>
      </c>
      <c r="G815" s="54">
        <v>21300.35</v>
      </c>
      <c r="H815" s="54">
        <v>0</v>
      </c>
      <c r="I815" t="s">
        <v>2881</v>
      </c>
      <c r="J815" s="31">
        <v>553.66999999999996</v>
      </c>
      <c r="K815" s="36" t="s">
        <v>1306</v>
      </c>
      <c r="L815" t="s">
        <v>2504</v>
      </c>
      <c r="M815" t="s">
        <v>67</v>
      </c>
      <c r="O815" t="s">
        <v>5035</v>
      </c>
      <c r="P815" t="s">
        <v>1341</v>
      </c>
      <c r="Q815" s="23">
        <v>46281.560490543983</v>
      </c>
      <c r="R815" s="32">
        <f>IF(OR(tbl_de_massas[[#This Row],[dia_vencimento]]="", tbl_de_massas[[#This Row],[dia_vencimento]]="--"), "", WORKDAY(tbl_de_massas[[#This Row],[dia_vencimento]], 5))</f>
        <v>13</v>
      </c>
    </row>
    <row r="816" spans="1:18" x14ac:dyDescent="0.25">
      <c r="A816" t="s">
        <v>5036</v>
      </c>
      <c r="B816" t="s">
        <v>5037</v>
      </c>
      <c r="C816" s="32" t="s">
        <v>2917</v>
      </c>
      <c r="D816" t="s">
        <v>5038</v>
      </c>
      <c r="E816" s="54">
        <v>13827.69</v>
      </c>
      <c r="F816" s="54">
        <v>0</v>
      </c>
      <c r="G816" s="54">
        <v>10471.15</v>
      </c>
      <c r="H816" s="54">
        <v>0</v>
      </c>
      <c r="I816" t="s">
        <v>2881</v>
      </c>
      <c r="J816" s="31">
        <v>831.65</v>
      </c>
      <c r="K816" s="36" t="s">
        <v>1306</v>
      </c>
      <c r="L816" t="s">
        <v>2504</v>
      </c>
      <c r="M816" t="s">
        <v>5039</v>
      </c>
      <c r="N816" t="s">
        <v>1341</v>
      </c>
      <c r="O816" t="s">
        <v>67</v>
      </c>
      <c r="Q816" s="23">
        <v>46281.560492372686</v>
      </c>
      <c r="R816" s="32">
        <f>IF(OR(tbl_de_massas[[#This Row],[dia_vencimento]]="", tbl_de_massas[[#This Row],[dia_vencimento]]="--"), "", WORKDAY(tbl_de_massas[[#This Row],[dia_vencimento]], 5))</f>
        <v>27</v>
      </c>
    </row>
    <row r="817" spans="1:18" x14ac:dyDescent="0.25">
      <c r="A817" t="s">
        <v>5040</v>
      </c>
      <c r="B817" t="s">
        <v>5041</v>
      </c>
      <c r="C817" s="32" t="s">
        <v>5832</v>
      </c>
      <c r="D817" t="s">
        <v>5042</v>
      </c>
      <c r="E817" s="54">
        <v>11888.62</v>
      </c>
      <c r="F817" s="54">
        <v>0</v>
      </c>
      <c r="G817" s="54">
        <v>9138.8799999999992</v>
      </c>
      <c r="H817" s="54">
        <v>0</v>
      </c>
      <c r="I817" t="s">
        <v>2881</v>
      </c>
      <c r="J817" s="31">
        <v>876.63</v>
      </c>
      <c r="K817" s="36" t="s">
        <v>1306</v>
      </c>
      <c r="L817" t="s">
        <v>2504</v>
      </c>
      <c r="M817" t="s">
        <v>5043</v>
      </c>
      <c r="N817" t="s">
        <v>1341</v>
      </c>
      <c r="O817" t="s">
        <v>67</v>
      </c>
      <c r="Q817" s="23">
        <v>46281.560494097219</v>
      </c>
      <c r="R817" s="32">
        <f>IF(OR(tbl_de_massas[[#This Row],[dia_vencimento]]="", tbl_de_massas[[#This Row],[dia_vencimento]]="--"), "", WORKDAY(tbl_de_massas[[#This Row],[dia_vencimento]], 5))</f>
        <v>27</v>
      </c>
    </row>
    <row r="818" spans="1:18" x14ac:dyDescent="0.25">
      <c r="A818" t="s">
        <v>5044</v>
      </c>
      <c r="B818" t="s">
        <v>5045</v>
      </c>
      <c r="C818" s="32" t="s">
        <v>605</v>
      </c>
      <c r="D818" t="s">
        <v>5046</v>
      </c>
      <c r="E818" s="54">
        <v>7151.41</v>
      </c>
      <c r="F818" s="54">
        <v>694.47</v>
      </c>
      <c r="G818" s="54">
        <v>14703.58</v>
      </c>
      <c r="H818" s="54">
        <v>0</v>
      </c>
      <c r="I818" t="s">
        <v>2881</v>
      </c>
      <c r="J818" s="31">
        <v>694.47</v>
      </c>
      <c r="K818" s="36" t="s">
        <v>1306</v>
      </c>
      <c r="L818" t="s">
        <v>2504</v>
      </c>
      <c r="M818" t="s">
        <v>67</v>
      </c>
      <c r="O818" t="s">
        <v>5047</v>
      </c>
      <c r="P818" t="s">
        <v>1341</v>
      </c>
      <c r="Q818" s="23">
        <v>46281.56049585648</v>
      </c>
      <c r="R818" s="32">
        <f>IF(OR(tbl_de_massas[[#This Row],[dia_vencimento]]="", tbl_de_massas[[#This Row],[dia_vencimento]]="--"), "", WORKDAY(tbl_de_massas[[#This Row],[dia_vencimento]], 5))</f>
        <v>17</v>
      </c>
    </row>
    <row r="819" spans="1:18" x14ac:dyDescent="0.25">
      <c r="A819" t="s">
        <v>5048</v>
      </c>
      <c r="B819" t="s">
        <v>5049</v>
      </c>
      <c r="C819" s="32" t="s">
        <v>611</v>
      </c>
      <c r="D819" t="s">
        <v>5050</v>
      </c>
      <c r="E819" s="54">
        <v>10820.16</v>
      </c>
      <c r="F819" s="54">
        <v>0</v>
      </c>
      <c r="G819" s="54">
        <v>7169.97</v>
      </c>
      <c r="H819" s="54">
        <v>0</v>
      </c>
      <c r="I819" t="s">
        <v>2881</v>
      </c>
      <c r="J819" s="31">
        <v>544.34</v>
      </c>
      <c r="K819" s="36" t="s">
        <v>1306</v>
      </c>
      <c r="L819" t="s">
        <v>2504</v>
      </c>
      <c r="M819" t="s">
        <v>67</v>
      </c>
      <c r="O819" t="s">
        <v>5051</v>
      </c>
      <c r="P819" t="s">
        <v>1341</v>
      </c>
      <c r="Q819" s="23">
        <v>46281.560497615741</v>
      </c>
      <c r="R819" s="32">
        <f>IF(OR(tbl_de_massas[[#This Row],[dia_vencimento]]="", tbl_de_massas[[#This Row],[dia_vencimento]]="--"), "", WORKDAY(tbl_de_massas[[#This Row],[dia_vencimento]], 5))</f>
        <v>32</v>
      </c>
    </row>
    <row r="820" spans="1:18" x14ac:dyDescent="0.25">
      <c r="A820" t="s">
        <v>5052</v>
      </c>
      <c r="B820" t="s">
        <v>5053</v>
      </c>
      <c r="C820" s="32" t="s">
        <v>2922</v>
      </c>
      <c r="D820" t="s">
        <v>5054</v>
      </c>
      <c r="E820" s="54">
        <v>10920.97</v>
      </c>
      <c r="F820" s="54">
        <v>809.12</v>
      </c>
      <c r="G820" s="54">
        <v>19779.8</v>
      </c>
      <c r="H820" s="54">
        <v>0</v>
      </c>
      <c r="I820" t="s">
        <v>2881</v>
      </c>
      <c r="J820" s="31">
        <v>809.12</v>
      </c>
      <c r="K820" s="36" t="s">
        <v>1306</v>
      </c>
      <c r="L820" t="s">
        <v>2504</v>
      </c>
      <c r="M820" t="s">
        <v>67</v>
      </c>
      <c r="O820" t="s">
        <v>5055</v>
      </c>
      <c r="P820" t="s">
        <v>1345</v>
      </c>
      <c r="Q820" s="23">
        <v>46281.560499270832</v>
      </c>
      <c r="R820" s="32">
        <f>IF(OR(tbl_de_massas[[#This Row],[dia_vencimento]]="", tbl_de_massas[[#This Row],[dia_vencimento]]="--"), "", WORKDAY(tbl_de_massas[[#This Row],[dia_vencimento]], 5))</f>
        <v>6</v>
      </c>
    </row>
    <row r="821" spans="1:18" x14ac:dyDescent="0.25">
      <c r="A821" t="s">
        <v>5056</v>
      </c>
      <c r="B821" t="s">
        <v>5057</v>
      </c>
      <c r="C821" s="32" t="s">
        <v>5827</v>
      </c>
      <c r="D821" t="s">
        <v>5058</v>
      </c>
      <c r="E821" s="54">
        <v>10930.36</v>
      </c>
      <c r="F821" s="54">
        <v>4881.9799999999996</v>
      </c>
      <c r="G821" s="54">
        <v>2882.33</v>
      </c>
      <c r="H821" s="54">
        <v>3870.86</v>
      </c>
      <c r="I821" t="s">
        <v>2877</v>
      </c>
      <c r="J821" s="31">
        <v>4881.9799999999996</v>
      </c>
      <c r="K821" s="36" t="s">
        <v>2675</v>
      </c>
      <c r="L821" t="s">
        <v>2502</v>
      </c>
      <c r="M821" t="s">
        <v>5059</v>
      </c>
      <c r="N821" t="s">
        <v>1341</v>
      </c>
      <c r="O821" t="s">
        <v>5060</v>
      </c>
      <c r="P821" t="s">
        <v>1341</v>
      </c>
      <c r="Q821" s="23">
        <v>46281.560501018517</v>
      </c>
      <c r="R821" s="32">
        <f>IF(OR(tbl_de_massas[[#This Row],[dia_vencimento]]="", tbl_de_massas[[#This Row],[dia_vencimento]]="--"), "", WORKDAY(tbl_de_massas[[#This Row],[dia_vencimento]], 5))</f>
        <v>12</v>
      </c>
    </row>
    <row r="822" spans="1:18" x14ac:dyDescent="0.25">
      <c r="A822" t="s">
        <v>5061</v>
      </c>
      <c r="B822" t="s">
        <v>5062</v>
      </c>
      <c r="C822" s="32" t="s">
        <v>608</v>
      </c>
      <c r="D822" t="s">
        <v>5063</v>
      </c>
      <c r="E822" s="54">
        <v>12346.79</v>
      </c>
      <c r="F822" s="54">
        <v>0</v>
      </c>
      <c r="G822" s="54">
        <v>12440.92</v>
      </c>
      <c r="H822" s="54">
        <v>0</v>
      </c>
      <c r="I822" t="s">
        <v>2881</v>
      </c>
      <c r="J822" s="31">
        <v>954.18</v>
      </c>
      <c r="K822" s="36" t="s">
        <v>1306</v>
      </c>
      <c r="L822" t="s">
        <v>2504</v>
      </c>
      <c r="M822" t="s">
        <v>5064</v>
      </c>
      <c r="N822" t="s">
        <v>1341</v>
      </c>
      <c r="O822" t="s">
        <v>67</v>
      </c>
      <c r="Q822" s="23">
        <v>46281.560503171298</v>
      </c>
      <c r="R822" s="32">
        <f>IF(OR(tbl_de_massas[[#This Row],[dia_vencimento]]="", tbl_de_massas[[#This Row],[dia_vencimento]]="--"), "", WORKDAY(tbl_de_massas[[#This Row],[dia_vencimento]], 5))</f>
        <v>27</v>
      </c>
    </row>
    <row r="823" spans="1:18" x14ac:dyDescent="0.25">
      <c r="A823" t="s">
        <v>5065</v>
      </c>
      <c r="B823" t="s">
        <v>5066</v>
      </c>
      <c r="C823" s="32" t="s">
        <v>2917</v>
      </c>
      <c r="D823" t="s">
        <v>5067</v>
      </c>
      <c r="E823" s="54">
        <v>7657.83</v>
      </c>
      <c r="F823" s="54">
        <v>0</v>
      </c>
      <c r="G823" s="54">
        <v>6203.55</v>
      </c>
      <c r="H823" s="54">
        <v>0</v>
      </c>
      <c r="I823" t="s">
        <v>2881</v>
      </c>
      <c r="J823" s="31">
        <v>413.52</v>
      </c>
      <c r="K823" s="36" t="s">
        <v>1306</v>
      </c>
      <c r="L823" t="s">
        <v>2504</v>
      </c>
      <c r="M823" t="s">
        <v>5068</v>
      </c>
      <c r="N823" t="s">
        <v>1341</v>
      </c>
      <c r="O823" t="s">
        <v>67</v>
      </c>
      <c r="Q823" s="23">
        <v>46281.560504942128</v>
      </c>
      <c r="R823" s="32">
        <f>IF(OR(tbl_de_massas[[#This Row],[dia_vencimento]]="", tbl_de_massas[[#This Row],[dia_vencimento]]="--"), "", WORKDAY(tbl_de_massas[[#This Row],[dia_vencimento]], 5))</f>
        <v>27</v>
      </c>
    </row>
    <row r="824" spans="1:18" x14ac:dyDescent="0.25">
      <c r="A824" t="s">
        <v>5069</v>
      </c>
      <c r="B824" t="s">
        <v>5070</v>
      </c>
      <c r="C824" s="32" t="s">
        <v>2922</v>
      </c>
      <c r="D824" t="s">
        <v>5071</v>
      </c>
      <c r="E824" s="54">
        <v>10075.42</v>
      </c>
      <c r="F824" s="54">
        <v>513.61</v>
      </c>
      <c r="G824" s="54">
        <v>2711.61</v>
      </c>
      <c r="H824" s="54">
        <v>0</v>
      </c>
      <c r="I824" t="s">
        <v>2881</v>
      </c>
      <c r="J824" s="31">
        <v>513.61</v>
      </c>
      <c r="K824" s="36" t="s">
        <v>1306</v>
      </c>
      <c r="L824" t="s">
        <v>2504</v>
      </c>
      <c r="M824" t="s">
        <v>5072</v>
      </c>
      <c r="N824" t="s">
        <v>1341</v>
      </c>
      <c r="O824" t="s">
        <v>67</v>
      </c>
      <c r="Q824" s="23">
        <v>46281.560506643516</v>
      </c>
      <c r="R824" s="32">
        <f>IF(OR(tbl_de_massas[[#This Row],[dia_vencimento]]="", tbl_de_massas[[#This Row],[dia_vencimento]]="--"), "", WORKDAY(tbl_de_massas[[#This Row],[dia_vencimento]], 5))</f>
        <v>6</v>
      </c>
    </row>
    <row r="825" spans="1:18" x14ac:dyDescent="0.25">
      <c r="A825" t="s">
        <v>5073</v>
      </c>
      <c r="B825" t="s">
        <v>5074</v>
      </c>
      <c r="C825" s="32" t="s">
        <v>5837</v>
      </c>
      <c r="D825" t="s">
        <v>5075</v>
      </c>
      <c r="E825" s="54">
        <v>12392.11</v>
      </c>
      <c r="F825" s="54">
        <v>4793.13</v>
      </c>
      <c r="G825" s="54">
        <v>9229.7199999999993</v>
      </c>
      <c r="H825" s="54">
        <v>3870.86</v>
      </c>
      <c r="I825" t="s">
        <v>2877</v>
      </c>
      <c r="J825" s="31">
        <v>4793.13</v>
      </c>
      <c r="K825" s="36" t="s">
        <v>2675</v>
      </c>
      <c r="L825" t="s">
        <v>2502</v>
      </c>
      <c r="M825" t="s">
        <v>5076</v>
      </c>
      <c r="N825" t="s">
        <v>1341</v>
      </c>
      <c r="O825" t="s">
        <v>5077</v>
      </c>
      <c r="P825" t="s">
        <v>1341</v>
      </c>
      <c r="Q825" s="23">
        <v>46281.560508506947</v>
      </c>
      <c r="R825" s="32">
        <f>IF(OR(tbl_de_massas[[#This Row],[dia_vencimento]]="", tbl_de_massas[[#This Row],[dia_vencimento]]="--"), "", WORKDAY(tbl_de_massas[[#This Row],[dia_vencimento]], 5))</f>
        <v>9</v>
      </c>
    </row>
    <row r="826" spans="1:18" x14ac:dyDescent="0.25">
      <c r="A826" t="s">
        <v>5078</v>
      </c>
      <c r="B826" t="s">
        <v>5079</v>
      </c>
      <c r="C826" s="32" t="s">
        <v>2360</v>
      </c>
      <c r="D826" t="s">
        <v>5080</v>
      </c>
      <c r="E826" s="54">
        <v>5697.92</v>
      </c>
      <c r="F826" s="54">
        <v>507.85</v>
      </c>
      <c r="G826" s="54">
        <v>5824.21</v>
      </c>
      <c r="H826" s="54">
        <v>0</v>
      </c>
      <c r="I826" t="s">
        <v>2881</v>
      </c>
      <c r="J826" s="31">
        <v>507.85</v>
      </c>
      <c r="K826" s="36" t="s">
        <v>1306</v>
      </c>
      <c r="L826" t="s">
        <v>2504</v>
      </c>
      <c r="M826" t="s">
        <v>5081</v>
      </c>
      <c r="N826" t="s">
        <v>1341</v>
      </c>
      <c r="O826" t="s">
        <v>5082</v>
      </c>
      <c r="P826" t="s">
        <v>1341</v>
      </c>
      <c r="Q826" s="23">
        <v>46281.560510740739</v>
      </c>
      <c r="R826" s="32">
        <f>IF(OR(tbl_de_massas[[#This Row],[dia_vencimento]]="", tbl_de_massas[[#This Row],[dia_vencimento]]="--"), "", WORKDAY(tbl_de_massas[[#This Row],[dia_vencimento]], 5))</f>
        <v>19</v>
      </c>
    </row>
    <row r="827" spans="1:18" x14ac:dyDescent="0.25">
      <c r="A827" t="s">
        <v>5083</v>
      </c>
      <c r="B827" t="s">
        <v>5084</v>
      </c>
      <c r="C827" s="32" t="s">
        <v>611</v>
      </c>
      <c r="D827" t="s">
        <v>5085</v>
      </c>
      <c r="E827" s="54">
        <v>7164.54</v>
      </c>
      <c r="F827" s="54">
        <v>0</v>
      </c>
      <c r="G827" s="54">
        <v>13974.4</v>
      </c>
      <c r="H827" s="54">
        <v>0</v>
      </c>
      <c r="I827" t="s">
        <v>2881</v>
      </c>
      <c r="J827" s="31">
        <v>636.67999999999995</v>
      </c>
      <c r="K827" s="36" t="s">
        <v>1306</v>
      </c>
      <c r="L827" t="s">
        <v>2504</v>
      </c>
      <c r="M827" t="s">
        <v>67</v>
      </c>
      <c r="O827" t="s">
        <v>5086</v>
      </c>
      <c r="P827" t="s">
        <v>1341</v>
      </c>
      <c r="Q827" s="23">
        <v>46281.560512488424</v>
      </c>
      <c r="R827" s="32">
        <f>IF(OR(tbl_de_massas[[#This Row],[dia_vencimento]]="", tbl_de_massas[[#This Row],[dia_vencimento]]="--"), "", WORKDAY(tbl_de_massas[[#This Row],[dia_vencimento]], 5))</f>
        <v>32</v>
      </c>
    </row>
    <row r="828" spans="1:18" x14ac:dyDescent="0.25">
      <c r="A828" t="s">
        <v>5087</v>
      </c>
      <c r="B828" t="s">
        <v>5088</v>
      </c>
      <c r="C828" s="32" t="s">
        <v>2924</v>
      </c>
      <c r="D828" t="s">
        <v>5089</v>
      </c>
      <c r="E828" s="54">
        <v>10061.64</v>
      </c>
      <c r="F828" s="54">
        <v>0</v>
      </c>
      <c r="G828" s="54">
        <v>15259.85</v>
      </c>
      <c r="H828" s="54">
        <v>0</v>
      </c>
      <c r="I828" t="s">
        <v>2881</v>
      </c>
      <c r="J828" s="31">
        <v>983.62</v>
      </c>
      <c r="K828" s="36" t="s">
        <v>1306</v>
      </c>
      <c r="L828" t="s">
        <v>2504</v>
      </c>
      <c r="M828" t="s">
        <v>67</v>
      </c>
      <c r="O828" t="s">
        <v>5090</v>
      </c>
      <c r="P828" t="s">
        <v>1345</v>
      </c>
      <c r="Q828" s="23">
        <v>46281.560514166667</v>
      </c>
      <c r="R828" s="32">
        <f>IF(OR(tbl_de_massas[[#This Row],[dia_vencimento]]="", tbl_de_massas[[#This Row],[dia_vencimento]]="--"), "", WORKDAY(tbl_de_massas[[#This Row],[dia_vencimento]], 5))</f>
        <v>26</v>
      </c>
    </row>
    <row r="829" spans="1:18" x14ac:dyDescent="0.25">
      <c r="A829" t="s">
        <v>5091</v>
      </c>
      <c r="B829" t="s">
        <v>5092</v>
      </c>
      <c r="C829" s="32" t="s">
        <v>2360</v>
      </c>
      <c r="D829" t="s">
        <v>5093</v>
      </c>
      <c r="E829" s="54">
        <v>10356.91</v>
      </c>
      <c r="F829" s="54">
        <v>4804.97</v>
      </c>
      <c r="G829" s="54">
        <v>2361.92</v>
      </c>
      <c r="H829" s="54">
        <v>3870.86</v>
      </c>
      <c r="I829" t="s">
        <v>2877</v>
      </c>
      <c r="J829" s="31">
        <v>4804.97</v>
      </c>
      <c r="K829" s="36" t="s">
        <v>2675</v>
      </c>
      <c r="L829" t="s">
        <v>2502</v>
      </c>
      <c r="M829" t="s">
        <v>67</v>
      </c>
      <c r="O829" t="s">
        <v>5094</v>
      </c>
      <c r="P829" t="s">
        <v>1341</v>
      </c>
      <c r="Q829" s="23">
        <v>46281.560516111109</v>
      </c>
      <c r="R829" s="32">
        <f>IF(OR(tbl_de_massas[[#This Row],[dia_vencimento]]="", tbl_de_massas[[#This Row],[dia_vencimento]]="--"), "", WORKDAY(tbl_de_massas[[#This Row],[dia_vencimento]], 5))</f>
        <v>19</v>
      </c>
    </row>
    <row r="830" spans="1:18" x14ac:dyDescent="0.25">
      <c r="A830" t="s">
        <v>5095</v>
      </c>
      <c r="B830" t="s">
        <v>5096</v>
      </c>
      <c r="C830" s="32" t="s">
        <v>2675</v>
      </c>
      <c r="D830" t="s">
        <v>5097</v>
      </c>
      <c r="E830" s="54">
        <v>13256.46</v>
      </c>
      <c r="F830" s="54">
        <v>4754.72</v>
      </c>
      <c r="G830" s="54">
        <v>10842.08</v>
      </c>
      <c r="H830" s="54">
        <v>3870.86</v>
      </c>
      <c r="I830" t="s">
        <v>2877</v>
      </c>
      <c r="J830" s="31">
        <v>4754.72</v>
      </c>
      <c r="K830" s="36" t="s">
        <v>2675</v>
      </c>
      <c r="L830" t="s">
        <v>2502</v>
      </c>
      <c r="M830" t="s">
        <v>5098</v>
      </c>
      <c r="N830" t="s">
        <v>1345</v>
      </c>
      <c r="O830" t="s">
        <v>5099</v>
      </c>
      <c r="P830" t="s">
        <v>1345</v>
      </c>
      <c r="Q830" s="23">
        <v>46281.560518113423</v>
      </c>
      <c r="R830" s="32">
        <f>IF(OR(tbl_de_massas[[#This Row],[dia_vencimento]]="", tbl_de_massas[[#This Row],[dia_vencimento]]="--"), "", WORKDAY(tbl_de_massas[[#This Row],[dia_vencimento]], 5))</f>
        <v>23</v>
      </c>
    </row>
    <row r="831" spans="1:18" x14ac:dyDescent="0.25">
      <c r="A831" t="s">
        <v>5100</v>
      </c>
      <c r="B831" t="s">
        <v>5101</v>
      </c>
      <c r="C831" s="32" t="s">
        <v>5834</v>
      </c>
      <c r="D831" t="s">
        <v>5102</v>
      </c>
      <c r="E831" s="54">
        <v>14185.18</v>
      </c>
      <c r="F831" s="54">
        <v>4947.71</v>
      </c>
      <c r="G831" s="54">
        <v>1832.74</v>
      </c>
      <c r="H831" s="54">
        <v>3870.86</v>
      </c>
      <c r="I831" t="s">
        <v>2877</v>
      </c>
      <c r="J831" s="31">
        <v>4947.71</v>
      </c>
      <c r="K831" s="36" t="s">
        <v>2675</v>
      </c>
      <c r="L831" t="s">
        <v>2502</v>
      </c>
      <c r="M831" t="s">
        <v>5103</v>
      </c>
      <c r="N831" t="s">
        <v>1341</v>
      </c>
      <c r="O831" t="s">
        <v>5104</v>
      </c>
      <c r="P831" t="s">
        <v>1341</v>
      </c>
      <c r="Q831" s="23">
        <v>46281.560520208332</v>
      </c>
      <c r="R831" s="32">
        <f>IF(OR(tbl_de_massas[[#This Row],[dia_vencimento]]="", tbl_de_massas[[#This Row],[dia_vencimento]]="--"), "", WORKDAY(tbl_de_massas[[#This Row],[dia_vencimento]], 5))</f>
        <v>10</v>
      </c>
    </row>
    <row r="832" spans="1:18" x14ac:dyDescent="0.25">
      <c r="A832" t="s">
        <v>5105</v>
      </c>
      <c r="B832" t="s">
        <v>5106</v>
      </c>
      <c r="C832" s="32" t="s">
        <v>5830</v>
      </c>
      <c r="D832" t="s">
        <v>5107</v>
      </c>
      <c r="E832" s="54">
        <v>6005.23</v>
      </c>
      <c r="F832" s="54">
        <v>4925.43</v>
      </c>
      <c r="G832" s="54">
        <v>7228.68</v>
      </c>
      <c r="H832" s="54">
        <v>3870.86</v>
      </c>
      <c r="I832" t="s">
        <v>2877</v>
      </c>
      <c r="J832" s="31">
        <v>4925.43</v>
      </c>
      <c r="K832" s="36" t="s">
        <v>2675</v>
      </c>
      <c r="L832" t="s">
        <v>2502</v>
      </c>
      <c r="M832" t="s">
        <v>5108</v>
      </c>
      <c r="N832" t="s">
        <v>1341</v>
      </c>
      <c r="O832" t="s">
        <v>5109</v>
      </c>
      <c r="P832" t="s">
        <v>1341</v>
      </c>
      <c r="Q832" s="23">
        <v>46281.560522557869</v>
      </c>
      <c r="R832" s="32">
        <f>IF(OR(tbl_de_massas[[#This Row],[dia_vencimento]]="", tbl_de_massas[[#This Row],[dia_vencimento]]="--"), "", WORKDAY(tbl_de_massas[[#This Row],[dia_vencimento]], 5))</f>
        <v>13</v>
      </c>
    </row>
    <row r="833" spans="1:18" x14ac:dyDescent="0.25">
      <c r="A833" t="s">
        <v>5110</v>
      </c>
      <c r="B833" t="s">
        <v>5111</v>
      </c>
      <c r="C833" s="32" t="s">
        <v>5830</v>
      </c>
      <c r="D833" t="s">
        <v>5112</v>
      </c>
      <c r="E833" s="54">
        <v>4323.91</v>
      </c>
      <c r="F833" s="54">
        <v>5050.87</v>
      </c>
      <c r="G833" s="54">
        <v>12110.42</v>
      </c>
      <c r="H833" s="54">
        <v>3870.86</v>
      </c>
      <c r="I833" t="s">
        <v>2877</v>
      </c>
      <c r="J833" s="31">
        <v>5050.87</v>
      </c>
      <c r="K833" s="36" t="s">
        <v>2675</v>
      </c>
      <c r="L833" t="s">
        <v>2502</v>
      </c>
      <c r="M833" t="s">
        <v>67</v>
      </c>
      <c r="O833" t="s">
        <v>5113</v>
      </c>
      <c r="P833" t="s">
        <v>1341</v>
      </c>
      <c r="Q833" s="23">
        <v>46281.560524803244</v>
      </c>
      <c r="R833" s="32">
        <f>IF(OR(tbl_de_massas[[#This Row],[dia_vencimento]]="", tbl_de_massas[[#This Row],[dia_vencimento]]="--"), "", WORKDAY(tbl_de_massas[[#This Row],[dia_vencimento]], 5))</f>
        <v>13</v>
      </c>
    </row>
    <row r="834" spans="1:18" x14ac:dyDescent="0.25">
      <c r="A834" t="s">
        <v>5114</v>
      </c>
      <c r="B834" t="s">
        <v>5115</v>
      </c>
      <c r="C834" s="32" t="s">
        <v>2917</v>
      </c>
      <c r="D834" t="s">
        <v>3865</v>
      </c>
      <c r="E834" s="54">
        <v>5753.08</v>
      </c>
      <c r="F834" s="54">
        <v>5087.57</v>
      </c>
      <c r="G834" s="54">
        <v>-2541.15</v>
      </c>
      <c r="H834" s="54">
        <v>3870.86</v>
      </c>
      <c r="I834" t="s">
        <v>2877</v>
      </c>
      <c r="J834" s="31">
        <v>5087.57</v>
      </c>
      <c r="K834" s="36" t="s">
        <v>2675</v>
      </c>
      <c r="L834" t="s">
        <v>2502</v>
      </c>
      <c r="M834" t="s">
        <v>67</v>
      </c>
      <c r="O834" t="s">
        <v>5116</v>
      </c>
      <c r="P834" t="s">
        <v>1341</v>
      </c>
      <c r="Q834" s="23">
        <v>46281.56052702546</v>
      </c>
      <c r="R834" s="32">
        <f>IF(OR(tbl_de_massas[[#This Row],[dia_vencimento]]="", tbl_de_massas[[#This Row],[dia_vencimento]]="--"), "", WORKDAY(tbl_de_massas[[#This Row],[dia_vencimento]], 5))</f>
        <v>27</v>
      </c>
    </row>
    <row r="835" spans="1:18" x14ac:dyDescent="0.25">
      <c r="A835" t="s">
        <v>5117</v>
      </c>
      <c r="B835" t="s">
        <v>5118</v>
      </c>
      <c r="C835" s="32" t="s">
        <v>2922</v>
      </c>
      <c r="D835" t="s">
        <v>5119</v>
      </c>
      <c r="E835" s="54">
        <v>2042.77</v>
      </c>
      <c r="F835" s="54">
        <v>4639.6000000000004</v>
      </c>
      <c r="G835" s="54">
        <v>7882.87</v>
      </c>
      <c r="H835" s="54">
        <v>3870.86</v>
      </c>
      <c r="I835" t="s">
        <v>2877</v>
      </c>
      <c r="J835" s="31">
        <v>4639.6000000000004</v>
      </c>
      <c r="K835" s="36" t="s">
        <v>2675</v>
      </c>
      <c r="L835" t="s">
        <v>2502</v>
      </c>
      <c r="M835" t="s">
        <v>5120</v>
      </c>
      <c r="N835" t="s">
        <v>1341</v>
      </c>
      <c r="O835" t="s">
        <v>67</v>
      </c>
      <c r="Q835" s="23">
        <v>46281.56052914352</v>
      </c>
      <c r="R835" s="32">
        <f>IF(OR(tbl_de_massas[[#This Row],[dia_vencimento]]="", tbl_de_massas[[#This Row],[dia_vencimento]]="--"), "", WORKDAY(tbl_de_massas[[#This Row],[dia_vencimento]], 5))</f>
        <v>6</v>
      </c>
    </row>
    <row r="836" spans="1:18" x14ac:dyDescent="0.25">
      <c r="A836" t="s">
        <v>5121</v>
      </c>
      <c r="B836" t="s">
        <v>5122</v>
      </c>
      <c r="C836" s="32" t="s">
        <v>2925</v>
      </c>
      <c r="D836" t="s">
        <v>5123</v>
      </c>
      <c r="E836" s="54">
        <v>10017.9</v>
      </c>
      <c r="F836" s="54">
        <v>251.72</v>
      </c>
      <c r="G836" s="54">
        <v>15724.71</v>
      </c>
      <c r="H836" s="54">
        <v>0</v>
      </c>
      <c r="I836" t="s">
        <v>2881</v>
      </c>
      <c r="J836" s="31">
        <v>755.15</v>
      </c>
      <c r="K836" s="36" t="s">
        <v>1306</v>
      </c>
      <c r="L836" t="s">
        <v>2504</v>
      </c>
      <c r="M836" t="s">
        <v>5124</v>
      </c>
      <c r="N836" t="s">
        <v>1341</v>
      </c>
      <c r="O836" t="s">
        <v>67</v>
      </c>
      <c r="Q836" s="23">
        <v>46281.560531180556</v>
      </c>
      <c r="R836" s="32">
        <f>IF(OR(tbl_de_massas[[#This Row],[dia_vencimento]]="", tbl_de_massas[[#This Row],[dia_vencimento]]="--"), "", WORKDAY(tbl_de_massas[[#This Row],[dia_vencimento]], 5))</f>
        <v>24</v>
      </c>
    </row>
    <row r="837" spans="1:18" x14ac:dyDescent="0.25">
      <c r="A837" t="s">
        <v>5125</v>
      </c>
      <c r="B837" t="s">
        <v>5126</v>
      </c>
      <c r="C837" s="32" t="s">
        <v>2924</v>
      </c>
      <c r="D837" t="s">
        <v>5127</v>
      </c>
      <c r="E837" s="54">
        <v>9541.31</v>
      </c>
      <c r="F837" s="54">
        <v>4718.8999999999996</v>
      </c>
      <c r="G837" s="54">
        <v>156.44</v>
      </c>
      <c r="H837" s="54">
        <v>3870.86</v>
      </c>
      <c r="I837" t="s">
        <v>2877</v>
      </c>
      <c r="J837" s="31">
        <v>4718.8999999999996</v>
      </c>
      <c r="K837" s="36" t="s">
        <v>2675</v>
      </c>
      <c r="L837" t="s">
        <v>2502</v>
      </c>
      <c r="M837" t="s">
        <v>67</v>
      </c>
      <c r="O837" t="s">
        <v>5128</v>
      </c>
      <c r="P837" t="s">
        <v>1341</v>
      </c>
      <c r="Q837" s="23">
        <v>46281.560533148149</v>
      </c>
      <c r="R837" s="32">
        <f>IF(OR(tbl_de_massas[[#This Row],[dia_vencimento]]="", tbl_de_massas[[#This Row],[dia_vencimento]]="--"), "", WORKDAY(tbl_de_massas[[#This Row],[dia_vencimento]], 5))</f>
        <v>26</v>
      </c>
    </row>
    <row r="838" spans="1:18" x14ac:dyDescent="0.25">
      <c r="A838" t="s">
        <v>5129</v>
      </c>
      <c r="B838" t="s">
        <v>5130</v>
      </c>
      <c r="C838" s="32" t="s">
        <v>5830</v>
      </c>
      <c r="D838" t="s">
        <v>5131</v>
      </c>
      <c r="E838" s="54">
        <v>15116.37</v>
      </c>
      <c r="F838" s="54">
        <v>406.87</v>
      </c>
      <c r="G838" s="54">
        <v>1702.65</v>
      </c>
      <c r="H838" s="54">
        <v>0</v>
      </c>
      <c r="I838" t="s">
        <v>2881</v>
      </c>
      <c r="J838" s="31">
        <v>406.87</v>
      </c>
      <c r="K838" s="36" t="s">
        <v>1306</v>
      </c>
      <c r="L838" t="s">
        <v>2504</v>
      </c>
      <c r="M838" t="s">
        <v>67</v>
      </c>
      <c r="O838" t="s">
        <v>5132</v>
      </c>
      <c r="P838" t="s">
        <v>1341</v>
      </c>
      <c r="Q838" s="23">
        <v>46281.560535381941</v>
      </c>
      <c r="R838" s="32">
        <f>IF(OR(tbl_de_massas[[#This Row],[dia_vencimento]]="", tbl_de_massas[[#This Row],[dia_vencimento]]="--"), "", WORKDAY(tbl_de_massas[[#This Row],[dia_vencimento]], 5))</f>
        <v>13</v>
      </c>
    </row>
    <row r="839" spans="1:18" x14ac:dyDescent="0.25">
      <c r="A839" t="s">
        <v>5133</v>
      </c>
      <c r="B839" t="s">
        <v>5134</v>
      </c>
      <c r="C839" s="32" t="s">
        <v>2918</v>
      </c>
      <c r="D839" t="s">
        <v>4868</v>
      </c>
      <c r="E839" s="54">
        <v>13796.57</v>
      </c>
      <c r="F839" s="54">
        <v>0</v>
      </c>
      <c r="G839" s="54">
        <v>6936.36</v>
      </c>
      <c r="H839" s="54">
        <v>0</v>
      </c>
      <c r="I839" t="s">
        <v>2881</v>
      </c>
      <c r="J839" s="31">
        <v>584.82000000000005</v>
      </c>
      <c r="K839" s="36" t="s">
        <v>1306</v>
      </c>
      <c r="L839" t="s">
        <v>2504</v>
      </c>
      <c r="M839" t="s">
        <v>67</v>
      </c>
      <c r="O839" t="s">
        <v>5135</v>
      </c>
      <c r="P839" t="s">
        <v>1341</v>
      </c>
      <c r="Q839" s="23">
        <v>46281.56053732639</v>
      </c>
      <c r="R839" s="32">
        <f>IF(OR(tbl_de_massas[[#This Row],[dia_vencimento]]="", tbl_de_massas[[#This Row],[dia_vencimento]]="--"), "", WORKDAY(tbl_de_massas[[#This Row],[dia_vencimento]], 5))</f>
        <v>34</v>
      </c>
    </row>
    <row r="840" spans="1:18" x14ac:dyDescent="0.25">
      <c r="A840" t="s">
        <v>5136</v>
      </c>
      <c r="B840" t="s">
        <v>5137</v>
      </c>
      <c r="C840" s="32" t="s">
        <v>2917</v>
      </c>
      <c r="D840" t="s">
        <v>5138</v>
      </c>
      <c r="E840" s="54">
        <v>10520.77</v>
      </c>
      <c r="F840" s="54">
        <v>5099.45</v>
      </c>
      <c r="G840" s="54">
        <v>16694.169999999998</v>
      </c>
      <c r="H840" s="54">
        <v>3870.86</v>
      </c>
      <c r="I840" t="s">
        <v>2877</v>
      </c>
      <c r="J840" s="31">
        <v>5099.45</v>
      </c>
      <c r="K840" s="36" t="s">
        <v>2675</v>
      </c>
      <c r="L840" t="s">
        <v>2502</v>
      </c>
      <c r="M840" t="s">
        <v>5139</v>
      </c>
      <c r="N840" t="s">
        <v>1341</v>
      </c>
      <c r="O840" t="s">
        <v>67</v>
      </c>
      <c r="Q840" s="23">
        <v>46281.560539525461</v>
      </c>
      <c r="R840" s="32">
        <f>IF(OR(tbl_de_massas[[#This Row],[dia_vencimento]]="", tbl_de_massas[[#This Row],[dia_vencimento]]="--"), "", WORKDAY(tbl_de_massas[[#This Row],[dia_vencimento]], 5))</f>
        <v>27</v>
      </c>
    </row>
    <row r="841" spans="1:18" x14ac:dyDescent="0.25">
      <c r="A841" t="s">
        <v>5140</v>
      </c>
      <c r="B841" t="s">
        <v>5141</v>
      </c>
      <c r="C841" s="32" t="s">
        <v>2361</v>
      </c>
      <c r="D841" t="s">
        <v>5142</v>
      </c>
      <c r="E841" s="54">
        <v>731.31</v>
      </c>
      <c r="F841" s="54">
        <v>427.58</v>
      </c>
      <c r="G841" s="54">
        <v>3358.5</v>
      </c>
      <c r="H841" s="54">
        <v>0</v>
      </c>
      <c r="I841" t="s">
        <v>2881</v>
      </c>
      <c r="J841" s="31">
        <v>427.58</v>
      </c>
      <c r="K841" s="36" t="s">
        <v>1306</v>
      </c>
      <c r="L841" t="s">
        <v>2504</v>
      </c>
      <c r="M841" t="s">
        <v>5143</v>
      </c>
      <c r="N841" t="s">
        <v>1341</v>
      </c>
      <c r="O841" t="s">
        <v>5144</v>
      </c>
      <c r="P841" t="s">
        <v>1341</v>
      </c>
      <c r="Q841" s="23">
        <v>46281.56054204861</v>
      </c>
      <c r="R841" s="32">
        <f>IF(OR(tbl_de_massas[[#This Row],[dia_vencimento]]="", tbl_de_massas[[#This Row],[dia_vencimento]]="--"), "", WORKDAY(tbl_de_massas[[#This Row],[dia_vencimento]], 5))</f>
        <v>20</v>
      </c>
    </row>
    <row r="842" spans="1:18" x14ac:dyDescent="0.25">
      <c r="A842" t="s">
        <v>5145</v>
      </c>
      <c r="B842" t="s">
        <v>5146</v>
      </c>
      <c r="C842" s="32" t="s">
        <v>2675</v>
      </c>
      <c r="D842" t="s">
        <v>5147</v>
      </c>
      <c r="E842" s="54">
        <v>9444.09</v>
      </c>
      <c r="F842" s="54">
        <v>414.45</v>
      </c>
      <c r="G842" s="54">
        <v>8886.68</v>
      </c>
      <c r="H842" s="54">
        <v>0</v>
      </c>
      <c r="I842" t="s">
        <v>2881</v>
      </c>
      <c r="J842" s="31">
        <v>621.66999999999996</v>
      </c>
      <c r="K842" s="36" t="s">
        <v>1306</v>
      </c>
      <c r="L842" t="s">
        <v>2504</v>
      </c>
      <c r="M842" t="s">
        <v>5148</v>
      </c>
      <c r="N842" t="s">
        <v>1341</v>
      </c>
      <c r="O842" t="s">
        <v>67</v>
      </c>
      <c r="Q842" s="23">
        <v>46281.560543981483</v>
      </c>
      <c r="R842" s="32">
        <f>IF(OR(tbl_de_massas[[#This Row],[dia_vencimento]]="", tbl_de_massas[[#This Row],[dia_vencimento]]="--"), "", WORKDAY(tbl_de_massas[[#This Row],[dia_vencimento]], 5))</f>
        <v>23</v>
      </c>
    </row>
    <row r="843" spans="1:18" x14ac:dyDescent="0.25">
      <c r="A843" t="s">
        <v>5149</v>
      </c>
      <c r="B843" t="s">
        <v>5150</v>
      </c>
      <c r="C843" s="32" t="s">
        <v>5830</v>
      </c>
      <c r="D843" t="s">
        <v>5151</v>
      </c>
      <c r="E843" s="54">
        <v>1949.01</v>
      </c>
      <c r="F843" s="54">
        <v>812.79</v>
      </c>
      <c r="G843" s="54">
        <v>15387.19</v>
      </c>
      <c r="H843" s="54">
        <v>0</v>
      </c>
      <c r="I843" t="s">
        <v>2881</v>
      </c>
      <c r="J843" s="31">
        <v>812.79</v>
      </c>
      <c r="K843" s="36" t="s">
        <v>1306</v>
      </c>
      <c r="L843" t="s">
        <v>2504</v>
      </c>
      <c r="M843" t="s">
        <v>5152</v>
      </c>
      <c r="N843" t="s">
        <v>1341</v>
      </c>
      <c r="O843" t="s">
        <v>5153</v>
      </c>
      <c r="P843" t="s">
        <v>1341</v>
      </c>
      <c r="Q843" s="23">
        <v>46281.560545844906</v>
      </c>
      <c r="R843" s="32">
        <f>IF(OR(tbl_de_massas[[#This Row],[dia_vencimento]]="", tbl_de_massas[[#This Row],[dia_vencimento]]="--"), "", WORKDAY(tbl_de_massas[[#This Row],[dia_vencimento]], 5))</f>
        <v>13</v>
      </c>
    </row>
    <row r="844" spans="1:18" x14ac:dyDescent="0.25">
      <c r="A844" t="s">
        <v>5154</v>
      </c>
      <c r="B844" t="s">
        <v>5155</v>
      </c>
      <c r="C844" s="32" t="s">
        <v>5837</v>
      </c>
      <c r="D844" t="s">
        <v>5156</v>
      </c>
      <c r="E844" s="54">
        <v>7990.37</v>
      </c>
      <c r="F844" s="54">
        <v>4840.95</v>
      </c>
      <c r="G844" s="54">
        <v>-443.22</v>
      </c>
      <c r="H844" s="54">
        <v>3870.86</v>
      </c>
      <c r="I844" t="s">
        <v>2877</v>
      </c>
      <c r="J844" s="31">
        <v>4840.95</v>
      </c>
      <c r="K844" s="36" t="s">
        <v>2675</v>
      </c>
      <c r="L844" t="s">
        <v>2502</v>
      </c>
      <c r="M844" t="s">
        <v>67</v>
      </c>
      <c r="O844" t="s">
        <v>5157</v>
      </c>
      <c r="P844" t="s">
        <v>1341</v>
      </c>
      <c r="Q844" s="23">
        <v>46281.560547858797</v>
      </c>
      <c r="R844" s="32">
        <f>IF(OR(tbl_de_massas[[#This Row],[dia_vencimento]]="", tbl_de_massas[[#This Row],[dia_vencimento]]="--"), "", WORKDAY(tbl_de_massas[[#This Row],[dia_vencimento]], 5))</f>
        <v>9</v>
      </c>
    </row>
    <row r="845" spans="1:18" x14ac:dyDescent="0.25">
      <c r="A845" t="s">
        <v>5158</v>
      </c>
      <c r="B845" t="s">
        <v>5159</v>
      </c>
      <c r="C845" s="32" t="s">
        <v>5839</v>
      </c>
      <c r="D845" t="s">
        <v>5160</v>
      </c>
      <c r="E845" s="54">
        <v>7371.8</v>
      </c>
      <c r="F845" s="54">
        <v>4912.97</v>
      </c>
      <c r="G845" s="54">
        <v>10052.700000000001</v>
      </c>
      <c r="H845" s="54">
        <v>3870.86</v>
      </c>
      <c r="I845" t="s">
        <v>2877</v>
      </c>
      <c r="J845" s="31">
        <v>4912.97</v>
      </c>
      <c r="K845" s="36" t="s">
        <v>2675</v>
      </c>
      <c r="L845" t="s">
        <v>2502</v>
      </c>
      <c r="M845" t="s">
        <v>5161</v>
      </c>
      <c r="N845" t="s">
        <v>1341</v>
      </c>
      <c r="O845" t="s">
        <v>67</v>
      </c>
      <c r="Q845" s="23">
        <v>46281.560550208334</v>
      </c>
      <c r="R845" s="32">
        <f>IF(OR(tbl_de_massas[[#This Row],[dia_vencimento]]="", tbl_de_massas[[#This Row],[dia_vencimento]]="--"), "", WORKDAY(tbl_de_massas[[#This Row],[dia_vencimento]], 5))</f>
        <v>31</v>
      </c>
    </row>
    <row r="846" spans="1:18" x14ac:dyDescent="0.25">
      <c r="A846" t="s">
        <v>5162</v>
      </c>
      <c r="B846" t="s">
        <v>5163</v>
      </c>
      <c r="C846" s="32" t="s">
        <v>5835</v>
      </c>
      <c r="D846" t="s">
        <v>5164</v>
      </c>
      <c r="E846" s="54">
        <v>7733.86</v>
      </c>
      <c r="F846" s="54">
        <v>637.03</v>
      </c>
      <c r="G846" s="54">
        <v>20269.009999999998</v>
      </c>
      <c r="H846" s="54">
        <v>0</v>
      </c>
      <c r="I846" t="s">
        <v>2881</v>
      </c>
      <c r="J846" s="31">
        <v>819.04</v>
      </c>
      <c r="K846" s="36" t="s">
        <v>1306</v>
      </c>
      <c r="L846" t="s">
        <v>2504</v>
      </c>
      <c r="M846" t="s">
        <v>5165</v>
      </c>
      <c r="N846" t="s">
        <v>1341</v>
      </c>
      <c r="O846" t="s">
        <v>5166</v>
      </c>
      <c r="P846" t="s">
        <v>1341</v>
      </c>
      <c r="Q846" s="23">
        <v>46281.560552361108</v>
      </c>
      <c r="R846" s="32">
        <f>IF(OR(tbl_de_massas[[#This Row],[dia_vencimento]]="", tbl_de_massas[[#This Row],[dia_vencimento]]="--"), "", WORKDAY(tbl_de_massas[[#This Row],[dia_vencimento]], 5))</f>
        <v>25</v>
      </c>
    </row>
    <row r="847" spans="1:18" x14ac:dyDescent="0.25">
      <c r="A847" t="s">
        <v>5167</v>
      </c>
      <c r="B847" t="s">
        <v>5168</v>
      </c>
      <c r="C847" s="32" t="s">
        <v>5827</v>
      </c>
      <c r="D847" t="s">
        <v>4369</v>
      </c>
      <c r="E847" s="54">
        <v>5655.52</v>
      </c>
      <c r="F847" s="54">
        <v>4713.66</v>
      </c>
      <c r="G847" s="54">
        <v>-382.24</v>
      </c>
      <c r="H847" s="54">
        <v>3870.86</v>
      </c>
      <c r="I847" t="s">
        <v>2877</v>
      </c>
      <c r="J847" s="31">
        <v>4713.66</v>
      </c>
      <c r="K847" s="36" t="s">
        <v>2675</v>
      </c>
      <c r="L847" t="s">
        <v>2502</v>
      </c>
      <c r="M847" t="s">
        <v>67</v>
      </c>
      <c r="O847" t="s">
        <v>5169</v>
      </c>
      <c r="P847" t="s">
        <v>1345</v>
      </c>
      <c r="Q847" s="23">
        <v>46281.560554328702</v>
      </c>
      <c r="R847" s="32">
        <f>IF(OR(tbl_de_massas[[#This Row],[dia_vencimento]]="", tbl_de_massas[[#This Row],[dia_vencimento]]="--"), "", WORKDAY(tbl_de_massas[[#This Row],[dia_vencimento]], 5))</f>
        <v>12</v>
      </c>
    </row>
    <row r="848" spans="1:18" x14ac:dyDescent="0.25">
      <c r="A848" t="s">
        <v>5170</v>
      </c>
      <c r="B848" t="s">
        <v>5171</v>
      </c>
      <c r="C848" s="32" t="s">
        <v>2924</v>
      </c>
      <c r="D848" t="s">
        <v>5172</v>
      </c>
      <c r="E848" s="54">
        <v>8615.42</v>
      </c>
      <c r="F848" s="54">
        <v>189.93</v>
      </c>
      <c r="G848" s="54">
        <v>16381.35</v>
      </c>
      <c r="H848" s="54">
        <v>0</v>
      </c>
      <c r="I848" t="s">
        <v>2881</v>
      </c>
      <c r="J848" s="31">
        <v>569.79</v>
      </c>
      <c r="K848" s="36" t="s">
        <v>1306</v>
      </c>
      <c r="L848" t="s">
        <v>2504</v>
      </c>
      <c r="M848" t="s">
        <v>67</v>
      </c>
      <c r="O848" t="s">
        <v>5173</v>
      </c>
      <c r="P848" t="s">
        <v>1341</v>
      </c>
      <c r="Q848" s="23">
        <v>46281.560556666664</v>
      </c>
      <c r="R848" s="32">
        <f>IF(OR(tbl_de_massas[[#This Row],[dia_vencimento]]="", tbl_de_massas[[#This Row],[dia_vencimento]]="--"), "", WORKDAY(tbl_de_massas[[#This Row],[dia_vencimento]], 5))</f>
        <v>26</v>
      </c>
    </row>
    <row r="849" spans="1:18" x14ac:dyDescent="0.25">
      <c r="A849" t="s">
        <v>5174</v>
      </c>
      <c r="B849" t="s">
        <v>5175</v>
      </c>
      <c r="C849" s="32" t="s">
        <v>2918</v>
      </c>
      <c r="D849" t="s">
        <v>5176</v>
      </c>
      <c r="E849" s="54">
        <v>8394.57</v>
      </c>
      <c r="F849" s="54">
        <v>5042.8999999999996</v>
      </c>
      <c r="G849" s="54">
        <v>2604.79</v>
      </c>
      <c r="H849" s="54">
        <v>3870.86</v>
      </c>
      <c r="I849" t="s">
        <v>2877</v>
      </c>
      <c r="J849" s="31">
        <v>5042.8999999999996</v>
      </c>
      <c r="K849" s="36" t="s">
        <v>2675</v>
      </c>
      <c r="L849" t="s">
        <v>2502</v>
      </c>
      <c r="M849" t="s">
        <v>5177</v>
      </c>
      <c r="N849" t="s">
        <v>1341</v>
      </c>
      <c r="O849" t="s">
        <v>67</v>
      </c>
      <c r="Q849" s="23">
        <v>46281.560558414349</v>
      </c>
      <c r="R849" s="32">
        <f>IF(OR(tbl_de_massas[[#This Row],[dia_vencimento]]="", tbl_de_massas[[#This Row],[dia_vencimento]]="--"), "", WORKDAY(tbl_de_massas[[#This Row],[dia_vencimento]], 5))</f>
        <v>34</v>
      </c>
    </row>
    <row r="850" spans="1:18" x14ac:dyDescent="0.25">
      <c r="A850" t="s">
        <v>5178</v>
      </c>
      <c r="B850" t="s">
        <v>5179</v>
      </c>
      <c r="C850" s="32" t="s">
        <v>2924</v>
      </c>
      <c r="D850" t="s">
        <v>5180</v>
      </c>
      <c r="E850" s="54">
        <v>14616.81</v>
      </c>
      <c r="F850" s="54">
        <v>4966.1499999999996</v>
      </c>
      <c r="G850" s="54">
        <v>5745.19</v>
      </c>
      <c r="H850" s="54">
        <v>3870.86</v>
      </c>
      <c r="I850" t="s">
        <v>2877</v>
      </c>
      <c r="J850" s="31">
        <v>4966.1499999999996</v>
      </c>
      <c r="K850" s="36" t="s">
        <v>2675</v>
      </c>
      <c r="L850" t="s">
        <v>2502</v>
      </c>
      <c r="M850" t="s">
        <v>5181</v>
      </c>
      <c r="N850" t="s">
        <v>1341</v>
      </c>
      <c r="O850" t="s">
        <v>67</v>
      </c>
      <c r="Q850" s="23">
        <v>46281.560560520833</v>
      </c>
      <c r="R850" s="32">
        <f>IF(OR(tbl_de_massas[[#This Row],[dia_vencimento]]="", tbl_de_massas[[#This Row],[dia_vencimento]]="--"), "", WORKDAY(tbl_de_massas[[#This Row],[dia_vencimento]], 5))</f>
        <v>26</v>
      </c>
    </row>
    <row r="851" spans="1:18" x14ac:dyDescent="0.25">
      <c r="A851" t="s">
        <v>5182</v>
      </c>
      <c r="B851" t="s">
        <v>5183</v>
      </c>
      <c r="C851" s="32" t="s">
        <v>607</v>
      </c>
      <c r="D851" t="s">
        <v>5184</v>
      </c>
      <c r="E851" s="54">
        <v>7293.61</v>
      </c>
      <c r="F851" s="54">
        <v>502.84</v>
      </c>
      <c r="G851" s="54">
        <v>2919</v>
      </c>
      <c r="H851" s="54">
        <v>0</v>
      </c>
      <c r="I851" t="s">
        <v>2881</v>
      </c>
      <c r="J851" s="31">
        <v>905.11</v>
      </c>
      <c r="K851" s="36" t="s">
        <v>1306</v>
      </c>
      <c r="L851" t="s">
        <v>2504</v>
      </c>
      <c r="M851" t="s">
        <v>67</v>
      </c>
      <c r="O851" t="s">
        <v>5185</v>
      </c>
      <c r="P851" t="s">
        <v>1341</v>
      </c>
      <c r="Q851" s="23">
        <v>46281.560562719904</v>
      </c>
      <c r="R851" s="32">
        <f>IF(OR(tbl_de_massas[[#This Row],[dia_vencimento]]="", tbl_de_massas[[#This Row],[dia_vencimento]]="--"), "", WORKDAY(tbl_de_massas[[#This Row],[dia_vencimento]], 5))</f>
        <v>20</v>
      </c>
    </row>
    <row r="852" spans="1:18" x14ac:dyDescent="0.25">
      <c r="A852" t="s">
        <v>5186</v>
      </c>
      <c r="B852" t="s">
        <v>5187</v>
      </c>
      <c r="C852" s="32" t="s">
        <v>5838</v>
      </c>
      <c r="D852" t="s">
        <v>5188</v>
      </c>
      <c r="E852" s="54">
        <v>12443.15</v>
      </c>
      <c r="F852" s="54">
        <v>4651.6899999999996</v>
      </c>
      <c r="G852" s="54">
        <v>15707.66</v>
      </c>
      <c r="H852" s="54">
        <v>3870.86</v>
      </c>
      <c r="I852" t="s">
        <v>2877</v>
      </c>
      <c r="J852" s="31">
        <v>4651.6899999999996</v>
      </c>
      <c r="K852" s="36" t="s">
        <v>2675</v>
      </c>
      <c r="L852" t="s">
        <v>2502</v>
      </c>
      <c r="M852" t="s">
        <v>67</v>
      </c>
      <c r="O852" t="s">
        <v>5189</v>
      </c>
      <c r="P852" t="s">
        <v>1341</v>
      </c>
      <c r="Q852" s="23">
        <v>46281.561499016207</v>
      </c>
      <c r="R852" s="32">
        <f>IF(OR(tbl_de_massas[[#This Row],[dia_vencimento]]="", tbl_de_massas[[#This Row],[dia_vencimento]]="--"), "", WORKDAY(tbl_de_massas[[#This Row],[dia_vencimento]], 5))</f>
        <v>11</v>
      </c>
    </row>
    <row r="853" spans="1:18" x14ac:dyDescent="0.25">
      <c r="A853" t="s">
        <v>5190</v>
      </c>
      <c r="B853" t="s">
        <v>5191</v>
      </c>
      <c r="C853" s="32" t="s">
        <v>5832</v>
      </c>
      <c r="D853" t="s">
        <v>5192</v>
      </c>
      <c r="E853" s="54">
        <v>3590.3</v>
      </c>
      <c r="F853" s="54">
        <v>5050.66</v>
      </c>
      <c r="G853" s="54">
        <v>5446.73</v>
      </c>
      <c r="H853" s="54">
        <v>3870.86</v>
      </c>
      <c r="I853" t="s">
        <v>2877</v>
      </c>
      <c r="J853" s="31">
        <v>5050.66</v>
      </c>
      <c r="K853" s="36" t="s">
        <v>2675</v>
      </c>
      <c r="L853" t="s">
        <v>2502</v>
      </c>
      <c r="M853" t="s">
        <v>5193</v>
      </c>
      <c r="N853" t="s">
        <v>1341</v>
      </c>
      <c r="O853" t="s">
        <v>67</v>
      </c>
      <c r="Q853" s="23">
        <v>46281.561501504628</v>
      </c>
      <c r="R853" s="32">
        <f>IF(OR(tbl_de_massas[[#This Row],[dia_vencimento]]="", tbl_de_massas[[#This Row],[dia_vencimento]]="--"), "", WORKDAY(tbl_de_massas[[#This Row],[dia_vencimento]], 5))</f>
        <v>27</v>
      </c>
    </row>
    <row r="854" spans="1:18" x14ac:dyDescent="0.25">
      <c r="A854" t="s">
        <v>5194</v>
      </c>
      <c r="B854" t="s">
        <v>5195</v>
      </c>
      <c r="C854" s="32" t="s">
        <v>605</v>
      </c>
      <c r="D854" t="s">
        <v>5196</v>
      </c>
      <c r="E854" s="54">
        <v>2496.0100000000002</v>
      </c>
      <c r="F854" s="54">
        <v>4824.51</v>
      </c>
      <c r="G854" s="54">
        <v>15037.29</v>
      </c>
      <c r="H854" s="54">
        <v>3870.86</v>
      </c>
      <c r="I854" t="s">
        <v>2877</v>
      </c>
      <c r="J854" s="31">
        <v>4824.51</v>
      </c>
      <c r="K854" s="36" t="s">
        <v>2675</v>
      </c>
      <c r="L854" t="s">
        <v>2502</v>
      </c>
      <c r="M854" t="s">
        <v>5197</v>
      </c>
      <c r="N854" t="s">
        <v>1341</v>
      </c>
      <c r="O854" t="s">
        <v>67</v>
      </c>
      <c r="Q854" s="23">
        <v>46281.561503784724</v>
      </c>
      <c r="R854" s="32">
        <f>IF(OR(tbl_de_massas[[#This Row],[dia_vencimento]]="", tbl_de_massas[[#This Row],[dia_vencimento]]="--"), "", WORKDAY(tbl_de_massas[[#This Row],[dia_vencimento]], 5))</f>
        <v>17</v>
      </c>
    </row>
    <row r="855" spans="1:18" x14ac:dyDescent="0.25">
      <c r="A855" t="s">
        <v>5198</v>
      </c>
      <c r="B855" t="s">
        <v>5199</v>
      </c>
      <c r="C855" s="32" t="s">
        <v>2346</v>
      </c>
      <c r="D855" t="s">
        <v>5200</v>
      </c>
      <c r="E855" s="54">
        <v>9340.83</v>
      </c>
      <c r="F855" s="54">
        <v>814.25</v>
      </c>
      <c r="G855" s="54">
        <v>3265.48</v>
      </c>
      <c r="H855" s="54">
        <v>0</v>
      </c>
      <c r="I855" t="s">
        <v>2881</v>
      </c>
      <c r="J855" s="31">
        <v>814.25</v>
      </c>
      <c r="K855" s="36" t="s">
        <v>1306</v>
      </c>
      <c r="L855" t="s">
        <v>2504</v>
      </c>
      <c r="M855" t="s">
        <v>67</v>
      </c>
      <c r="O855" t="s">
        <v>5201</v>
      </c>
      <c r="P855" t="s">
        <v>1341</v>
      </c>
      <c r="Q855" s="23">
        <v>46281.561506319442</v>
      </c>
      <c r="R855" s="32">
        <f>IF(OR(tbl_de_massas[[#This Row],[dia_vencimento]]="", tbl_de_massas[[#This Row],[dia_vencimento]]="--"), "", WORKDAY(tbl_de_massas[[#This Row],[dia_vencimento]], 5))</f>
        <v>18</v>
      </c>
    </row>
    <row r="856" spans="1:18" x14ac:dyDescent="0.25">
      <c r="A856" t="s">
        <v>5202</v>
      </c>
      <c r="B856" t="s">
        <v>5203</v>
      </c>
      <c r="C856" s="32" t="s">
        <v>5829</v>
      </c>
      <c r="D856" t="s">
        <v>5204</v>
      </c>
      <c r="E856" s="54">
        <v>14549.75</v>
      </c>
      <c r="F856" s="54">
        <v>4727.8599999999997</v>
      </c>
      <c r="G856" s="54">
        <v>130.59</v>
      </c>
      <c r="H856" s="54">
        <v>3870.86</v>
      </c>
      <c r="I856" t="s">
        <v>2877</v>
      </c>
      <c r="J856" s="31">
        <v>4727.8599999999997</v>
      </c>
      <c r="K856" s="36" t="s">
        <v>2675</v>
      </c>
      <c r="L856" t="s">
        <v>2502</v>
      </c>
      <c r="M856" t="s">
        <v>67</v>
      </c>
      <c r="O856" t="s">
        <v>5205</v>
      </c>
      <c r="P856" t="s">
        <v>1341</v>
      </c>
      <c r="Q856" s="23">
        <v>46281.561508298611</v>
      </c>
      <c r="R856" s="32">
        <f>IF(OR(tbl_de_massas[[#This Row],[dia_vencimento]]="", tbl_de_massas[[#This Row],[dia_vencimento]]="--"), "", WORKDAY(tbl_de_massas[[#This Row],[dia_vencimento]], 5))</f>
        <v>30</v>
      </c>
    </row>
    <row r="857" spans="1:18" x14ac:dyDescent="0.25">
      <c r="A857" t="s">
        <v>5206</v>
      </c>
      <c r="B857" t="s">
        <v>5207</v>
      </c>
      <c r="C857" s="32" t="s">
        <v>5837</v>
      </c>
      <c r="D857" t="s">
        <v>5208</v>
      </c>
      <c r="E857" s="54">
        <v>1071.28</v>
      </c>
      <c r="F857" s="54">
        <v>521.07000000000005</v>
      </c>
      <c r="G857" s="54">
        <v>12455.05</v>
      </c>
      <c r="H857" s="54">
        <v>0</v>
      </c>
      <c r="I857" t="s">
        <v>2881</v>
      </c>
      <c r="J857" s="31">
        <v>521.07000000000005</v>
      </c>
      <c r="K857" s="36" t="s">
        <v>1306</v>
      </c>
      <c r="L857" t="s">
        <v>2504</v>
      </c>
      <c r="M857" t="s">
        <v>5209</v>
      </c>
      <c r="N857" t="s">
        <v>1345</v>
      </c>
      <c r="O857" t="s">
        <v>5210</v>
      </c>
      <c r="P857" t="s">
        <v>1345</v>
      </c>
      <c r="Q857" s="23">
        <v>46281.561510567131</v>
      </c>
      <c r="R857" s="32">
        <f>IF(OR(tbl_de_massas[[#This Row],[dia_vencimento]]="", tbl_de_massas[[#This Row],[dia_vencimento]]="--"), "", WORKDAY(tbl_de_massas[[#This Row],[dia_vencimento]], 5))</f>
        <v>9</v>
      </c>
    </row>
    <row r="858" spans="1:18" x14ac:dyDescent="0.25">
      <c r="A858" t="s">
        <v>5211</v>
      </c>
      <c r="B858" t="s">
        <v>5212</v>
      </c>
      <c r="C858" s="32" t="s">
        <v>608</v>
      </c>
      <c r="D858" t="s">
        <v>5213</v>
      </c>
      <c r="E858" s="54">
        <v>784.94</v>
      </c>
      <c r="F858" s="54">
        <v>4656.6499999999996</v>
      </c>
      <c r="G858" s="54">
        <v>11927.07</v>
      </c>
      <c r="H858" s="54">
        <v>3870.86</v>
      </c>
      <c r="I858" t="s">
        <v>2877</v>
      </c>
      <c r="J858" s="31">
        <v>4656.6499999999996</v>
      </c>
      <c r="K858" s="36" t="s">
        <v>2675</v>
      </c>
      <c r="L858" t="s">
        <v>2502</v>
      </c>
      <c r="M858" t="s">
        <v>67</v>
      </c>
      <c r="O858" t="s">
        <v>5214</v>
      </c>
      <c r="P858" t="s">
        <v>1341</v>
      </c>
      <c r="Q858" s="23">
        <v>46281.561513553243</v>
      </c>
      <c r="R858" s="32">
        <f>IF(OR(tbl_de_massas[[#This Row],[dia_vencimento]]="", tbl_de_massas[[#This Row],[dia_vencimento]]="--"), "", WORKDAY(tbl_de_massas[[#This Row],[dia_vencimento]], 5))</f>
        <v>27</v>
      </c>
    </row>
    <row r="859" spans="1:18" x14ac:dyDescent="0.25">
      <c r="A859" t="s">
        <v>5215</v>
      </c>
      <c r="B859" t="s">
        <v>5216</v>
      </c>
      <c r="C859" s="32" t="s">
        <v>5833</v>
      </c>
      <c r="D859" t="s">
        <v>5217</v>
      </c>
      <c r="E859" s="54">
        <v>12623.94</v>
      </c>
      <c r="F859" s="54">
        <v>4912.1000000000004</v>
      </c>
      <c r="G859" s="54">
        <v>12419.07</v>
      </c>
      <c r="H859" s="54">
        <v>3870.86</v>
      </c>
      <c r="I859" t="s">
        <v>2877</v>
      </c>
      <c r="J859" s="31">
        <v>4912.1000000000004</v>
      </c>
      <c r="K859" s="36" t="s">
        <v>2675</v>
      </c>
      <c r="L859" t="s">
        <v>2502</v>
      </c>
      <c r="M859" t="s">
        <v>5218</v>
      </c>
      <c r="N859" t="s">
        <v>1341</v>
      </c>
      <c r="O859" t="s">
        <v>5219</v>
      </c>
      <c r="P859" t="s">
        <v>1341</v>
      </c>
      <c r="Q859" s="23">
        <v>46281.561516608796</v>
      </c>
      <c r="R859" s="32">
        <f>IF(OR(tbl_de_massas[[#This Row],[dia_vencimento]]="", tbl_de_massas[[#This Row],[dia_vencimento]]="--"), "", WORKDAY(tbl_de_massas[[#This Row],[dia_vencimento]], 5))</f>
        <v>13</v>
      </c>
    </row>
    <row r="860" spans="1:18" x14ac:dyDescent="0.25">
      <c r="A860" t="s">
        <v>5220</v>
      </c>
      <c r="B860" t="s">
        <v>5221</v>
      </c>
      <c r="C860" s="32" t="s">
        <v>2922</v>
      </c>
      <c r="D860" t="s">
        <v>5222</v>
      </c>
      <c r="E860" s="54">
        <v>7482.45</v>
      </c>
      <c r="F860" s="54">
        <v>412.48</v>
      </c>
      <c r="G860" s="54">
        <v>14570.09</v>
      </c>
      <c r="H860" s="54">
        <v>0</v>
      </c>
      <c r="I860" t="s">
        <v>2881</v>
      </c>
      <c r="J860" s="31">
        <v>412.48</v>
      </c>
      <c r="K860" s="36" t="s">
        <v>1306</v>
      </c>
      <c r="L860" t="s">
        <v>2504</v>
      </c>
      <c r="M860" t="s">
        <v>5223</v>
      </c>
      <c r="N860" t="s">
        <v>1341</v>
      </c>
      <c r="O860" t="s">
        <v>5224</v>
      </c>
      <c r="P860" t="s">
        <v>1341</v>
      </c>
      <c r="Q860" s="23">
        <v>46281.561519490744</v>
      </c>
      <c r="R860" s="32">
        <f>IF(OR(tbl_de_massas[[#This Row],[dia_vencimento]]="", tbl_de_massas[[#This Row],[dia_vencimento]]="--"), "", WORKDAY(tbl_de_massas[[#This Row],[dia_vencimento]], 5))</f>
        <v>6</v>
      </c>
    </row>
    <row r="861" spans="1:18" x14ac:dyDescent="0.25">
      <c r="A861" t="s">
        <v>5225</v>
      </c>
      <c r="B861" t="s">
        <v>5226</v>
      </c>
      <c r="C861" s="32" t="s">
        <v>2921</v>
      </c>
      <c r="D861" t="s">
        <v>5227</v>
      </c>
      <c r="E861" s="54">
        <v>5407.4</v>
      </c>
      <c r="F861" s="54">
        <v>511.89</v>
      </c>
      <c r="G861" s="54">
        <v>13596.59</v>
      </c>
      <c r="H861" s="54">
        <v>0</v>
      </c>
      <c r="I861" t="s">
        <v>2881</v>
      </c>
      <c r="J861" s="31">
        <v>511.89</v>
      </c>
      <c r="K861" s="36" t="s">
        <v>1306</v>
      </c>
      <c r="L861" t="s">
        <v>2504</v>
      </c>
      <c r="M861" t="s">
        <v>5228</v>
      </c>
      <c r="N861" t="s">
        <v>1341</v>
      </c>
      <c r="O861" t="s">
        <v>67</v>
      </c>
      <c r="Q861" s="23">
        <v>46281.561521655094</v>
      </c>
      <c r="R861" s="32">
        <f>IF(OR(tbl_de_massas[[#This Row],[dia_vencimento]]="", tbl_de_massas[[#This Row],[dia_vencimento]]="--"), "", WORKDAY(tbl_de_massas[[#This Row],[dia_vencimento]], 5))</f>
        <v>13</v>
      </c>
    </row>
    <row r="862" spans="1:18" x14ac:dyDescent="0.25">
      <c r="A862" t="s">
        <v>5229</v>
      </c>
      <c r="B862" t="s">
        <v>5230</v>
      </c>
      <c r="C862" s="32" t="s">
        <v>5837</v>
      </c>
      <c r="D862" t="s">
        <v>5231</v>
      </c>
      <c r="E862" s="54">
        <v>5069.71</v>
      </c>
      <c r="F862" s="54">
        <v>4761.4399999999996</v>
      </c>
      <c r="G862" s="54">
        <v>1414.01</v>
      </c>
      <c r="H862" s="54">
        <v>3870.86</v>
      </c>
      <c r="I862" t="s">
        <v>2877</v>
      </c>
      <c r="J862" s="31">
        <v>4761.4399999999996</v>
      </c>
      <c r="K862" s="36" t="s">
        <v>2675</v>
      </c>
      <c r="L862" t="s">
        <v>2502</v>
      </c>
      <c r="M862" t="s">
        <v>5232</v>
      </c>
      <c r="N862" t="s">
        <v>1341</v>
      </c>
      <c r="O862" t="s">
        <v>67</v>
      </c>
      <c r="Q862" s="23">
        <v>46281.561523564815</v>
      </c>
      <c r="R862" s="32">
        <f>IF(OR(tbl_de_massas[[#This Row],[dia_vencimento]]="", tbl_de_massas[[#This Row],[dia_vencimento]]="--"), "", WORKDAY(tbl_de_massas[[#This Row],[dia_vencimento]], 5))</f>
        <v>9</v>
      </c>
    </row>
    <row r="863" spans="1:18" x14ac:dyDescent="0.25">
      <c r="A863" t="s">
        <v>5233</v>
      </c>
      <c r="B863" t="s">
        <v>5234</v>
      </c>
      <c r="C863" s="32" t="s">
        <v>5839</v>
      </c>
      <c r="D863" t="s">
        <v>5235</v>
      </c>
      <c r="E863" s="54">
        <v>3805.26</v>
      </c>
      <c r="F863" s="54">
        <v>4741.33</v>
      </c>
      <c r="G863" s="54">
        <v>5378.73</v>
      </c>
      <c r="H863" s="54">
        <v>3870.86</v>
      </c>
      <c r="I863" t="s">
        <v>2877</v>
      </c>
      <c r="J863" s="31">
        <v>4741.33</v>
      </c>
      <c r="K863" s="36" t="s">
        <v>2675</v>
      </c>
      <c r="L863" t="s">
        <v>2502</v>
      </c>
      <c r="M863" t="s">
        <v>67</v>
      </c>
      <c r="O863" t="s">
        <v>5236</v>
      </c>
      <c r="P863" t="s">
        <v>1341</v>
      </c>
      <c r="Q863" s="23">
        <v>46281.561526273152</v>
      </c>
      <c r="R863" s="32">
        <f>IF(OR(tbl_de_massas[[#This Row],[dia_vencimento]]="", tbl_de_massas[[#This Row],[dia_vencimento]]="--"), "", WORKDAY(tbl_de_massas[[#This Row],[dia_vencimento]], 5))</f>
        <v>31</v>
      </c>
    </row>
    <row r="864" spans="1:18" x14ac:dyDescent="0.25">
      <c r="A864" t="s">
        <v>5237</v>
      </c>
      <c r="B864" t="s">
        <v>5238</v>
      </c>
      <c r="C864" s="32" t="s">
        <v>5837</v>
      </c>
      <c r="D864" t="s">
        <v>5239</v>
      </c>
      <c r="E864" s="54">
        <v>5528.66</v>
      </c>
      <c r="F864" s="54">
        <v>4846.66</v>
      </c>
      <c r="G864" s="54">
        <v>1078.96</v>
      </c>
      <c r="H864" s="54">
        <v>3870.86</v>
      </c>
      <c r="I864" t="s">
        <v>2877</v>
      </c>
      <c r="J864" s="31">
        <v>4846.66</v>
      </c>
      <c r="K864" s="36" t="s">
        <v>2675</v>
      </c>
      <c r="L864" t="s">
        <v>2502</v>
      </c>
      <c r="M864" t="s">
        <v>67</v>
      </c>
      <c r="O864" t="s">
        <v>5240</v>
      </c>
      <c r="P864" t="s">
        <v>1341</v>
      </c>
      <c r="Q864" s="23">
        <v>46281.561528379629</v>
      </c>
      <c r="R864" s="32">
        <f>IF(OR(tbl_de_massas[[#This Row],[dia_vencimento]]="", tbl_de_massas[[#This Row],[dia_vencimento]]="--"), "", WORKDAY(tbl_de_massas[[#This Row],[dia_vencimento]], 5))</f>
        <v>9</v>
      </c>
    </row>
    <row r="865" spans="1:18" x14ac:dyDescent="0.25">
      <c r="A865" t="s">
        <v>5241</v>
      </c>
      <c r="B865" t="s">
        <v>5242</v>
      </c>
      <c r="C865" s="32" t="s">
        <v>5837</v>
      </c>
      <c r="D865" t="s">
        <v>5243</v>
      </c>
      <c r="E865" s="54">
        <v>7755.37</v>
      </c>
      <c r="F865" s="54">
        <v>4658.68</v>
      </c>
      <c r="G865" s="54">
        <v>8881.36</v>
      </c>
      <c r="H865" s="54">
        <v>3870.86</v>
      </c>
      <c r="I865" t="s">
        <v>2877</v>
      </c>
      <c r="J865" s="31">
        <v>4658.68</v>
      </c>
      <c r="K865" s="36" t="s">
        <v>2675</v>
      </c>
      <c r="L865" t="s">
        <v>2502</v>
      </c>
      <c r="M865" t="s">
        <v>67</v>
      </c>
      <c r="O865" t="s">
        <v>5244</v>
      </c>
      <c r="P865" t="s">
        <v>1341</v>
      </c>
      <c r="Q865" s="23">
        <v>46281.561530729166</v>
      </c>
      <c r="R865" s="32">
        <f>IF(OR(tbl_de_massas[[#This Row],[dia_vencimento]]="", tbl_de_massas[[#This Row],[dia_vencimento]]="--"), "", WORKDAY(tbl_de_massas[[#This Row],[dia_vencimento]], 5))</f>
        <v>9</v>
      </c>
    </row>
    <row r="866" spans="1:18" x14ac:dyDescent="0.25">
      <c r="A866" t="s">
        <v>5245</v>
      </c>
      <c r="B866" t="s">
        <v>5246</v>
      </c>
      <c r="C866" s="32" t="s">
        <v>5838</v>
      </c>
      <c r="D866" t="s">
        <v>5247</v>
      </c>
      <c r="E866" s="54">
        <v>4080.05</v>
      </c>
      <c r="F866" s="54">
        <v>828.93</v>
      </c>
      <c r="G866" s="54">
        <v>11640.13</v>
      </c>
      <c r="H866" s="54">
        <v>0</v>
      </c>
      <c r="I866" t="s">
        <v>2881</v>
      </c>
      <c r="J866" s="31">
        <v>828.93</v>
      </c>
      <c r="K866" s="36" t="s">
        <v>1306</v>
      </c>
      <c r="L866" t="s">
        <v>2504</v>
      </c>
      <c r="M866" t="s">
        <v>5248</v>
      </c>
      <c r="N866" t="s">
        <v>1341</v>
      </c>
      <c r="O866" t="s">
        <v>67</v>
      </c>
      <c r="Q866" s="23">
        <v>46281.561532789354</v>
      </c>
      <c r="R866" s="32">
        <f>IF(OR(tbl_de_massas[[#This Row],[dia_vencimento]]="", tbl_de_massas[[#This Row],[dia_vencimento]]="--"), "", WORKDAY(tbl_de_massas[[#This Row],[dia_vencimento]], 5))</f>
        <v>11</v>
      </c>
    </row>
    <row r="867" spans="1:18" x14ac:dyDescent="0.25">
      <c r="A867" t="s">
        <v>5249</v>
      </c>
      <c r="B867" t="s">
        <v>5250</v>
      </c>
      <c r="C867" s="32" t="s">
        <v>2918</v>
      </c>
      <c r="D867" t="s">
        <v>5251</v>
      </c>
      <c r="E867" s="54">
        <v>11001.88</v>
      </c>
      <c r="F867" s="54">
        <v>0</v>
      </c>
      <c r="G867" s="54">
        <v>11062.19</v>
      </c>
      <c r="H867" s="54">
        <v>0</v>
      </c>
      <c r="I867" t="s">
        <v>2881</v>
      </c>
      <c r="J867" s="31">
        <v>677.83</v>
      </c>
      <c r="K867" s="36" t="s">
        <v>1306</v>
      </c>
      <c r="L867" t="s">
        <v>2504</v>
      </c>
      <c r="M867" t="s">
        <v>67</v>
      </c>
      <c r="O867" t="s">
        <v>5252</v>
      </c>
      <c r="P867" t="s">
        <v>1341</v>
      </c>
      <c r="Q867" s="23">
        <v>46281.561534479166</v>
      </c>
      <c r="R867" s="32">
        <f>IF(OR(tbl_de_massas[[#This Row],[dia_vencimento]]="", tbl_de_massas[[#This Row],[dia_vencimento]]="--"), "", WORKDAY(tbl_de_massas[[#This Row],[dia_vencimento]], 5))</f>
        <v>34</v>
      </c>
    </row>
    <row r="868" spans="1:18" x14ac:dyDescent="0.25">
      <c r="A868" t="s">
        <v>5253</v>
      </c>
      <c r="B868" t="s">
        <v>5254</v>
      </c>
      <c r="C868" s="32" t="s">
        <v>2360</v>
      </c>
      <c r="D868" t="s">
        <v>5255</v>
      </c>
      <c r="E868" s="54">
        <v>1148.1500000000001</v>
      </c>
      <c r="F868" s="54">
        <v>4835.6000000000004</v>
      </c>
      <c r="G868" s="54">
        <v>16040.88</v>
      </c>
      <c r="H868" s="54">
        <v>3870.86</v>
      </c>
      <c r="I868" t="s">
        <v>2877</v>
      </c>
      <c r="J868" s="31">
        <v>4835.6000000000004</v>
      </c>
      <c r="K868" s="36" t="s">
        <v>2675</v>
      </c>
      <c r="L868" t="s">
        <v>2502</v>
      </c>
      <c r="M868" t="s">
        <v>67</v>
      </c>
      <c r="O868" t="s">
        <v>5256</v>
      </c>
      <c r="P868" t="s">
        <v>1341</v>
      </c>
      <c r="Q868" s="23">
        <v>46281.561536284724</v>
      </c>
      <c r="R868" s="32">
        <f>IF(OR(tbl_de_massas[[#This Row],[dia_vencimento]]="", tbl_de_massas[[#This Row],[dia_vencimento]]="--"), "", WORKDAY(tbl_de_massas[[#This Row],[dia_vencimento]], 5))</f>
        <v>19</v>
      </c>
    </row>
    <row r="869" spans="1:18" x14ac:dyDescent="0.25">
      <c r="A869" t="s">
        <v>5257</v>
      </c>
      <c r="B869" t="s">
        <v>5258</v>
      </c>
      <c r="C869" s="32" t="s">
        <v>2922</v>
      </c>
      <c r="D869" t="s">
        <v>5259</v>
      </c>
      <c r="E869" s="54">
        <v>13295.48</v>
      </c>
      <c r="F869" s="54">
        <v>4733.49</v>
      </c>
      <c r="G869" s="54">
        <v>8006.56</v>
      </c>
      <c r="H869" s="54">
        <v>3870.86</v>
      </c>
      <c r="I869" t="s">
        <v>2877</v>
      </c>
      <c r="J869" s="31">
        <v>4733.49</v>
      </c>
      <c r="K869" s="36" t="s">
        <v>2675</v>
      </c>
      <c r="L869" t="s">
        <v>2502</v>
      </c>
      <c r="M869" t="s">
        <v>67</v>
      </c>
      <c r="O869" t="s">
        <v>5260</v>
      </c>
      <c r="P869" t="s">
        <v>1341</v>
      </c>
      <c r="Q869" s="23">
        <v>46281.56153835648</v>
      </c>
      <c r="R869" s="32">
        <f>IF(OR(tbl_de_massas[[#This Row],[dia_vencimento]]="", tbl_de_massas[[#This Row],[dia_vencimento]]="--"), "", WORKDAY(tbl_de_massas[[#This Row],[dia_vencimento]], 5))</f>
        <v>6</v>
      </c>
    </row>
    <row r="870" spans="1:18" x14ac:dyDescent="0.25">
      <c r="A870" t="s">
        <v>5261</v>
      </c>
      <c r="B870" t="s">
        <v>5262</v>
      </c>
      <c r="C870" s="32" t="s">
        <v>2925</v>
      </c>
      <c r="D870" t="s">
        <v>5263</v>
      </c>
      <c r="E870" s="54">
        <v>12225.73</v>
      </c>
      <c r="F870" s="54">
        <v>501.63</v>
      </c>
      <c r="G870" s="54">
        <v>6300.34</v>
      </c>
      <c r="H870" s="54">
        <v>0</v>
      </c>
      <c r="I870" t="s">
        <v>2881</v>
      </c>
      <c r="J870" s="31">
        <v>501.63</v>
      </c>
      <c r="K870" s="36" t="s">
        <v>1306</v>
      </c>
      <c r="L870" t="s">
        <v>2504</v>
      </c>
      <c r="M870" t="s">
        <v>67</v>
      </c>
      <c r="O870" t="s">
        <v>5264</v>
      </c>
      <c r="P870" t="s">
        <v>1345</v>
      </c>
      <c r="Q870" s="23">
        <v>46281.561540509261</v>
      </c>
      <c r="R870" s="32">
        <f>IF(OR(tbl_de_massas[[#This Row],[dia_vencimento]]="", tbl_de_massas[[#This Row],[dia_vencimento]]="--"), "", WORKDAY(tbl_de_massas[[#This Row],[dia_vencimento]], 5))</f>
        <v>24</v>
      </c>
    </row>
    <row r="871" spans="1:18" x14ac:dyDescent="0.25">
      <c r="A871" t="s">
        <v>5265</v>
      </c>
      <c r="B871" t="s">
        <v>5266</v>
      </c>
      <c r="C871" s="32" t="s">
        <v>5831</v>
      </c>
      <c r="D871" t="s">
        <v>5267</v>
      </c>
      <c r="E871" s="54">
        <v>908.7</v>
      </c>
      <c r="F871" s="54">
        <v>4687.91</v>
      </c>
      <c r="G871" s="54">
        <v>-1155.31</v>
      </c>
      <c r="H871" s="54">
        <v>3870.86</v>
      </c>
      <c r="I871" t="s">
        <v>2877</v>
      </c>
      <c r="J871" s="31">
        <v>4687.91</v>
      </c>
      <c r="K871" s="36" t="s">
        <v>2675</v>
      </c>
      <c r="L871" t="s">
        <v>2502</v>
      </c>
      <c r="M871" t="s">
        <v>67</v>
      </c>
      <c r="O871" t="s">
        <v>5268</v>
      </c>
      <c r="P871" t="s">
        <v>1341</v>
      </c>
      <c r="Q871" s="23">
        <v>46281.561542280091</v>
      </c>
      <c r="R871" s="32">
        <f>IF(OR(tbl_de_massas[[#This Row],[dia_vencimento]]="", tbl_de_massas[[#This Row],[dia_vencimento]]="--"), "", WORKDAY(tbl_de_massas[[#This Row],[dia_vencimento]], 5))</f>
        <v>16</v>
      </c>
    </row>
    <row r="872" spans="1:18" x14ac:dyDescent="0.25">
      <c r="A872" t="s">
        <v>5269</v>
      </c>
      <c r="B872" t="s">
        <v>5270</v>
      </c>
      <c r="C872" s="32" t="s">
        <v>2917</v>
      </c>
      <c r="D872" t="s">
        <v>5271</v>
      </c>
      <c r="E872" s="54">
        <v>7241</v>
      </c>
      <c r="F872" s="54">
        <v>4949.7299999999996</v>
      </c>
      <c r="G872" s="54">
        <v>12356.27</v>
      </c>
      <c r="H872" s="54">
        <v>3870.86</v>
      </c>
      <c r="I872" t="s">
        <v>2877</v>
      </c>
      <c r="J872" s="31">
        <v>4949.7299999999996</v>
      </c>
      <c r="K872" s="36" t="s">
        <v>2675</v>
      </c>
      <c r="L872" t="s">
        <v>2502</v>
      </c>
      <c r="M872" t="s">
        <v>67</v>
      </c>
      <c r="O872" t="s">
        <v>5272</v>
      </c>
      <c r="P872" t="s">
        <v>1341</v>
      </c>
      <c r="Q872" s="23">
        <v>46281.561544386575</v>
      </c>
      <c r="R872" s="32">
        <f>IF(OR(tbl_de_massas[[#This Row],[dia_vencimento]]="", tbl_de_massas[[#This Row],[dia_vencimento]]="--"), "", WORKDAY(tbl_de_massas[[#This Row],[dia_vencimento]], 5))</f>
        <v>27</v>
      </c>
    </row>
    <row r="873" spans="1:18" x14ac:dyDescent="0.25">
      <c r="A873" t="s">
        <v>5273</v>
      </c>
      <c r="B873" t="s">
        <v>5274</v>
      </c>
      <c r="C873" s="32" t="s">
        <v>5832</v>
      </c>
      <c r="D873" t="s">
        <v>5275</v>
      </c>
      <c r="E873" s="54">
        <v>7337.88</v>
      </c>
      <c r="F873" s="54">
        <v>5028.47</v>
      </c>
      <c r="G873" s="54">
        <v>4278.1099999999997</v>
      </c>
      <c r="H873" s="54">
        <v>3870.86</v>
      </c>
      <c r="I873" t="s">
        <v>2877</v>
      </c>
      <c r="J873" s="31">
        <v>5028.47</v>
      </c>
      <c r="K873" s="36" t="s">
        <v>2675</v>
      </c>
      <c r="L873" t="s">
        <v>2502</v>
      </c>
      <c r="M873" t="s">
        <v>67</v>
      </c>
      <c r="O873" t="s">
        <v>5276</v>
      </c>
      <c r="P873" t="s">
        <v>1341</v>
      </c>
      <c r="Q873" s="23">
        <v>46281.561546608798</v>
      </c>
      <c r="R873" s="32">
        <f>IF(OR(tbl_de_massas[[#This Row],[dia_vencimento]]="", tbl_de_massas[[#This Row],[dia_vencimento]]="--"), "", WORKDAY(tbl_de_massas[[#This Row],[dia_vencimento]], 5))</f>
        <v>27</v>
      </c>
    </row>
    <row r="874" spans="1:18" x14ac:dyDescent="0.25">
      <c r="A874" t="s">
        <v>5277</v>
      </c>
      <c r="B874" t="s">
        <v>5278</v>
      </c>
      <c r="C874" s="32" t="s">
        <v>5827</v>
      </c>
      <c r="D874" t="s">
        <v>5279</v>
      </c>
      <c r="E874" s="54">
        <v>7324.38</v>
      </c>
      <c r="F874" s="54">
        <v>552.52</v>
      </c>
      <c r="G874" s="54">
        <v>17267.34</v>
      </c>
      <c r="H874" s="54">
        <v>0</v>
      </c>
      <c r="I874" t="s">
        <v>2881</v>
      </c>
      <c r="J874" s="31">
        <v>552.52</v>
      </c>
      <c r="K874" s="36" t="s">
        <v>1306</v>
      </c>
      <c r="L874" t="s">
        <v>2504</v>
      </c>
      <c r="M874" t="s">
        <v>67</v>
      </c>
      <c r="O874" t="s">
        <v>5280</v>
      </c>
      <c r="P874" t="s">
        <v>1341</v>
      </c>
      <c r="Q874" s="23">
        <v>46281.561548680555</v>
      </c>
      <c r="R874" s="32">
        <f>IF(OR(tbl_de_massas[[#This Row],[dia_vencimento]]="", tbl_de_massas[[#This Row],[dia_vencimento]]="--"), "", WORKDAY(tbl_de_massas[[#This Row],[dia_vencimento]], 5))</f>
        <v>12</v>
      </c>
    </row>
    <row r="875" spans="1:18" x14ac:dyDescent="0.25">
      <c r="A875" t="s">
        <v>5281</v>
      </c>
      <c r="B875" t="s">
        <v>5282</v>
      </c>
      <c r="C875" s="32" t="s">
        <v>2924</v>
      </c>
      <c r="D875" t="s">
        <v>5283</v>
      </c>
      <c r="E875" s="54">
        <v>8288.49</v>
      </c>
      <c r="F875" s="54">
        <v>4894.7</v>
      </c>
      <c r="G875" s="54">
        <v>8617.94</v>
      </c>
      <c r="H875" s="54">
        <v>3870.86</v>
      </c>
      <c r="I875" t="s">
        <v>2877</v>
      </c>
      <c r="J875" s="31">
        <v>4894.7</v>
      </c>
      <c r="K875" s="36" t="s">
        <v>2675</v>
      </c>
      <c r="L875" t="s">
        <v>2502</v>
      </c>
      <c r="M875" t="s">
        <v>5284</v>
      </c>
      <c r="N875" t="s">
        <v>1345</v>
      </c>
      <c r="O875" t="s">
        <v>67</v>
      </c>
      <c r="Q875" s="23">
        <v>46281.561550358798</v>
      </c>
      <c r="R875" s="32">
        <f>IF(OR(tbl_de_massas[[#This Row],[dia_vencimento]]="", tbl_de_massas[[#This Row],[dia_vencimento]]="--"), "", WORKDAY(tbl_de_massas[[#This Row],[dia_vencimento]], 5))</f>
        <v>26</v>
      </c>
    </row>
    <row r="876" spans="1:18" x14ac:dyDescent="0.25">
      <c r="A876" t="s">
        <v>5285</v>
      </c>
      <c r="B876" t="s">
        <v>5286</v>
      </c>
      <c r="C876" s="32" t="s">
        <v>611</v>
      </c>
      <c r="D876" t="s">
        <v>5287</v>
      </c>
      <c r="E876" s="54">
        <v>8452.5499999999993</v>
      </c>
      <c r="F876" s="54">
        <v>0</v>
      </c>
      <c r="G876" s="54">
        <v>10062.85</v>
      </c>
      <c r="H876" s="54">
        <v>0</v>
      </c>
      <c r="I876" t="s">
        <v>2881</v>
      </c>
      <c r="J876" s="31">
        <v>575.04999999999995</v>
      </c>
      <c r="K876" s="36" t="s">
        <v>1306</v>
      </c>
      <c r="L876" t="s">
        <v>2504</v>
      </c>
      <c r="M876" t="s">
        <v>67</v>
      </c>
      <c r="O876" t="s">
        <v>5288</v>
      </c>
      <c r="P876" t="s">
        <v>1341</v>
      </c>
      <c r="Q876" s="23">
        <v>46281.561552500003</v>
      </c>
      <c r="R876" s="32">
        <f>IF(OR(tbl_de_massas[[#This Row],[dia_vencimento]]="", tbl_de_massas[[#This Row],[dia_vencimento]]="--"), "", WORKDAY(tbl_de_massas[[#This Row],[dia_vencimento]], 5))</f>
        <v>32</v>
      </c>
    </row>
    <row r="877" spans="1:18" x14ac:dyDescent="0.25">
      <c r="A877" t="s">
        <v>5289</v>
      </c>
      <c r="B877" t="s">
        <v>5290</v>
      </c>
      <c r="C877" s="32" t="s">
        <v>5827</v>
      </c>
      <c r="D877" t="s">
        <v>5291</v>
      </c>
      <c r="E877" s="54">
        <v>2454.9</v>
      </c>
      <c r="F877" s="54">
        <v>5037.62</v>
      </c>
      <c r="G877" s="54">
        <v>-1889.29</v>
      </c>
      <c r="H877" s="54">
        <v>3870.86</v>
      </c>
      <c r="I877" t="s">
        <v>2877</v>
      </c>
      <c r="J877" s="31">
        <v>5037.62</v>
      </c>
      <c r="K877" s="36" t="s">
        <v>2675</v>
      </c>
      <c r="L877" t="s">
        <v>2502</v>
      </c>
      <c r="M877" t="s">
        <v>5292</v>
      </c>
      <c r="N877" t="s">
        <v>1341</v>
      </c>
      <c r="O877" t="s">
        <v>67</v>
      </c>
      <c r="Q877" s="23">
        <v>46281.561554293985</v>
      </c>
      <c r="R877" s="32">
        <f>IF(OR(tbl_de_massas[[#This Row],[dia_vencimento]]="", tbl_de_massas[[#This Row],[dia_vencimento]]="--"), "", WORKDAY(tbl_de_massas[[#This Row],[dia_vencimento]], 5))</f>
        <v>12</v>
      </c>
    </row>
    <row r="878" spans="1:18" x14ac:dyDescent="0.25">
      <c r="A878" t="s">
        <v>5293</v>
      </c>
      <c r="B878" t="s">
        <v>5294</v>
      </c>
      <c r="C878" s="32" t="s">
        <v>2917</v>
      </c>
      <c r="D878" t="s">
        <v>5295</v>
      </c>
      <c r="E878" s="54">
        <v>5453.2</v>
      </c>
      <c r="F878" s="54">
        <v>4914.72</v>
      </c>
      <c r="G878" s="54">
        <v>15839.51</v>
      </c>
      <c r="H878" s="54">
        <v>3870.86</v>
      </c>
      <c r="I878" t="s">
        <v>2877</v>
      </c>
      <c r="J878" s="31">
        <v>4914.72</v>
      </c>
      <c r="K878" s="36" t="s">
        <v>2675</v>
      </c>
      <c r="L878" t="s">
        <v>2502</v>
      </c>
      <c r="M878" t="s">
        <v>5296</v>
      </c>
      <c r="N878" t="s">
        <v>1341</v>
      </c>
      <c r="O878" t="s">
        <v>67</v>
      </c>
      <c r="Q878" s="23">
        <v>46281.561556712964</v>
      </c>
      <c r="R878" s="32">
        <f>IF(OR(tbl_de_massas[[#This Row],[dia_vencimento]]="", tbl_de_massas[[#This Row],[dia_vencimento]]="--"), "", WORKDAY(tbl_de_massas[[#This Row],[dia_vencimento]], 5))</f>
        <v>27</v>
      </c>
    </row>
    <row r="879" spans="1:18" x14ac:dyDescent="0.25">
      <c r="A879" t="s">
        <v>5297</v>
      </c>
      <c r="B879" t="s">
        <v>5298</v>
      </c>
      <c r="C879" s="32" t="s">
        <v>5828</v>
      </c>
      <c r="D879" t="s">
        <v>5299</v>
      </c>
      <c r="E879" s="54">
        <v>11928.03</v>
      </c>
      <c r="F879" s="54">
        <v>4910.29</v>
      </c>
      <c r="G879" s="54">
        <v>-2157.66</v>
      </c>
      <c r="H879" s="54">
        <v>3870.86</v>
      </c>
      <c r="I879" t="s">
        <v>2877</v>
      </c>
      <c r="J879" s="31">
        <v>4910.29</v>
      </c>
      <c r="K879" s="36" t="s">
        <v>2675</v>
      </c>
      <c r="L879" t="s">
        <v>2502</v>
      </c>
      <c r="M879" t="s">
        <v>5300</v>
      </c>
      <c r="N879" t="s">
        <v>1341</v>
      </c>
      <c r="O879" t="s">
        <v>5301</v>
      </c>
      <c r="P879" t="s">
        <v>1341</v>
      </c>
      <c r="Q879" s="23">
        <v>46281.561559293979</v>
      </c>
      <c r="R879" s="32">
        <f>IF(OR(tbl_de_massas[[#This Row],[dia_vencimento]]="", tbl_de_massas[[#This Row],[dia_vencimento]]="--"), "", WORKDAY(tbl_de_massas[[#This Row],[dia_vencimento]], 5))</f>
        <v>33</v>
      </c>
    </row>
    <row r="880" spans="1:18" x14ac:dyDescent="0.25">
      <c r="A880" t="s">
        <v>5302</v>
      </c>
      <c r="B880" t="s">
        <v>5303</v>
      </c>
      <c r="C880" s="32" t="s">
        <v>5834</v>
      </c>
      <c r="D880" t="s">
        <v>5304</v>
      </c>
      <c r="E880" s="54">
        <v>2759.18</v>
      </c>
      <c r="F880" s="54">
        <v>4922.28</v>
      </c>
      <c r="G880" s="54">
        <v>2813.91</v>
      </c>
      <c r="H880" s="54">
        <v>3870.86</v>
      </c>
      <c r="I880" t="s">
        <v>2877</v>
      </c>
      <c r="J880" s="31">
        <v>4922.28</v>
      </c>
      <c r="K880" s="36" t="s">
        <v>2675</v>
      </c>
      <c r="L880" t="s">
        <v>2502</v>
      </c>
      <c r="M880" t="s">
        <v>5305</v>
      </c>
      <c r="N880" t="s">
        <v>1341</v>
      </c>
      <c r="O880" t="s">
        <v>67</v>
      </c>
      <c r="Q880" s="23">
        <v>46281.561561736111</v>
      </c>
      <c r="R880" s="32">
        <f>IF(OR(tbl_de_massas[[#This Row],[dia_vencimento]]="", tbl_de_massas[[#This Row],[dia_vencimento]]="--"), "", WORKDAY(tbl_de_massas[[#This Row],[dia_vencimento]], 5))</f>
        <v>10</v>
      </c>
    </row>
    <row r="881" spans="1:18" x14ac:dyDescent="0.25">
      <c r="A881" t="s">
        <v>5306</v>
      </c>
      <c r="B881" t="s">
        <v>5307</v>
      </c>
      <c r="C881" s="32" t="s">
        <v>2924</v>
      </c>
      <c r="D881" t="s">
        <v>5308</v>
      </c>
      <c r="E881" s="54">
        <v>6776.06</v>
      </c>
      <c r="F881" s="54">
        <v>4883.91</v>
      </c>
      <c r="G881" s="54">
        <v>-1145.0999999999999</v>
      </c>
      <c r="H881" s="54">
        <v>3870.86</v>
      </c>
      <c r="I881" t="s">
        <v>2877</v>
      </c>
      <c r="J881" s="31">
        <v>4883.91</v>
      </c>
      <c r="K881" s="36" t="s">
        <v>2675</v>
      </c>
      <c r="L881" t="s">
        <v>2502</v>
      </c>
      <c r="M881" t="s">
        <v>5309</v>
      </c>
      <c r="N881" t="s">
        <v>1341</v>
      </c>
      <c r="O881" t="s">
        <v>5310</v>
      </c>
      <c r="P881" t="s">
        <v>1341</v>
      </c>
      <c r="Q881" s="23">
        <v>46281.561564733798</v>
      </c>
      <c r="R881" s="32">
        <f>IF(OR(tbl_de_massas[[#This Row],[dia_vencimento]]="", tbl_de_massas[[#This Row],[dia_vencimento]]="--"), "", WORKDAY(tbl_de_massas[[#This Row],[dia_vencimento]], 5))</f>
        <v>26</v>
      </c>
    </row>
    <row r="882" spans="1:18" x14ac:dyDescent="0.25">
      <c r="A882" t="s">
        <v>5311</v>
      </c>
      <c r="B882" t="s">
        <v>5312</v>
      </c>
      <c r="C882" s="32" t="s">
        <v>5839</v>
      </c>
      <c r="D882" t="s">
        <v>5313</v>
      </c>
      <c r="E882" s="54">
        <v>11703.65</v>
      </c>
      <c r="F882" s="54">
        <v>4614.84</v>
      </c>
      <c r="G882" s="54">
        <v>12159.94</v>
      </c>
      <c r="H882" s="54">
        <v>3870.86</v>
      </c>
      <c r="I882" t="s">
        <v>2877</v>
      </c>
      <c r="J882" s="31">
        <v>4614.84</v>
      </c>
      <c r="K882" s="36" t="s">
        <v>2675</v>
      </c>
      <c r="L882" t="s">
        <v>2502</v>
      </c>
      <c r="M882" t="s">
        <v>5314</v>
      </c>
      <c r="N882" t="s">
        <v>1341</v>
      </c>
      <c r="O882" t="s">
        <v>5315</v>
      </c>
      <c r="P882" t="s">
        <v>1341</v>
      </c>
      <c r="Q882" s="23">
        <v>46281.561567141202</v>
      </c>
      <c r="R882" s="32">
        <f>IF(OR(tbl_de_massas[[#This Row],[dia_vencimento]]="", tbl_de_massas[[#This Row],[dia_vencimento]]="--"), "", WORKDAY(tbl_de_massas[[#This Row],[dia_vencimento]], 5))</f>
        <v>31</v>
      </c>
    </row>
    <row r="883" spans="1:18" x14ac:dyDescent="0.25">
      <c r="A883" t="s">
        <v>5316</v>
      </c>
      <c r="B883" t="s">
        <v>5317</v>
      </c>
      <c r="C883" s="32" t="s">
        <v>5833</v>
      </c>
      <c r="D883" t="s">
        <v>5318</v>
      </c>
      <c r="E883" s="54">
        <v>3599.15</v>
      </c>
      <c r="F883" s="54">
        <v>952.93</v>
      </c>
      <c r="G883" s="54">
        <v>4387.8999999999996</v>
      </c>
      <c r="H883" s="54">
        <v>0</v>
      </c>
      <c r="I883" t="s">
        <v>2881</v>
      </c>
      <c r="J883" s="31">
        <v>952.93</v>
      </c>
      <c r="K883" s="36" t="s">
        <v>1306</v>
      </c>
      <c r="L883" t="s">
        <v>2504</v>
      </c>
      <c r="M883" t="s">
        <v>67</v>
      </c>
      <c r="O883" t="s">
        <v>5319</v>
      </c>
      <c r="P883" t="s">
        <v>1341</v>
      </c>
      <c r="Q883" s="23">
        <v>46281.56156962963</v>
      </c>
      <c r="R883" s="32">
        <f>IF(OR(tbl_de_massas[[#This Row],[dia_vencimento]]="", tbl_de_massas[[#This Row],[dia_vencimento]]="--"), "", WORKDAY(tbl_de_massas[[#This Row],[dia_vencimento]], 5))</f>
        <v>13</v>
      </c>
    </row>
    <row r="884" spans="1:18" x14ac:dyDescent="0.25">
      <c r="A884" t="s">
        <v>5320</v>
      </c>
      <c r="B884" t="s">
        <v>5321</v>
      </c>
      <c r="C884" s="32" t="s">
        <v>5837</v>
      </c>
      <c r="D884" t="s">
        <v>5322</v>
      </c>
      <c r="E884" s="54">
        <v>14190.97</v>
      </c>
      <c r="F884" s="54">
        <v>4945.68</v>
      </c>
      <c r="G884" s="54">
        <v>11252.41</v>
      </c>
      <c r="H884" s="54">
        <v>3870.86</v>
      </c>
      <c r="I884" t="s">
        <v>2877</v>
      </c>
      <c r="J884" s="31">
        <v>4945.68</v>
      </c>
      <c r="K884" s="36" t="s">
        <v>2675</v>
      </c>
      <c r="L884" t="s">
        <v>2502</v>
      </c>
      <c r="M884" t="s">
        <v>5323</v>
      </c>
      <c r="N884" t="s">
        <v>1341</v>
      </c>
      <c r="O884" t="s">
        <v>5324</v>
      </c>
      <c r="P884" t="s">
        <v>1341</v>
      </c>
      <c r="Q884" s="23">
        <v>46281.561571886574</v>
      </c>
      <c r="R884" s="32">
        <f>IF(OR(tbl_de_massas[[#This Row],[dia_vencimento]]="", tbl_de_massas[[#This Row],[dia_vencimento]]="--"), "", WORKDAY(tbl_de_massas[[#This Row],[dia_vencimento]], 5))</f>
        <v>9</v>
      </c>
    </row>
    <row r="885" spans="1:18" x14ac:dyDescent="0.25">
      <c r="A885" t="s">
        <v>5325</v>
      </c>
      <c r="B885" t="s">
        <v>5326</v>
      </c>
      <c r="C885" s="32" t="s">
        <v>611</v>
      </c>
      <c r="D885" t="s">
        <v>5327</v>
      </c>
      <c r="E885" s="54">
        <v>5699.26</v>
      </c>
      <c r="F885" s="54">
        <v>4832.78</v>
      </c>
      <c r="G885" s="54">
        <v>622.75</v>
      </c>
      <c r="H885" s="54">
        <v>3870.86</v>
      </c>
      <c r="I885" t="s">
        <v>2877</v>
      </c>
      <c r="J885" s="31">
        <v>4832.78</v>
      </c>
      <c r="K885" s="36" t="s">
        <v>2675</v>
      </c>
      <c r="L885" t="s">
        <v>2502</v>
      </c>
      <c r="M885" t="s">
        <v>5328</v>
      </c>
      <c r="N885" t="s">
        <v>1341</v>
      </c>
      <c r="O885" t="s">
        <v>67</v>
      </c>
      <c r="Q885" s="23">
        <v>46281.561574201391</v>
      </c>
      <c r="R885" s="32">
        <f>IF(OR(tbl_de_massas[[#This Row],[dia_vencimento]]="", tbl_de_massas[[#This Row],[dia_vencimento]]="--"), "", WORKDAY(tbl_de_massas[[#This Row],[dia_vencimento]], 5))</f>
        <v>32</v>
      </c>
    </row>
    <row r="886" spans="1:18" x14ac:dyDescent="0.25">
      <c r="A886" t="s">
        <v>5329</v>
      </c>
      <c r="B886" t="s">
        <v>5330</v>
      </c>
      <c r="C886" s="32" t="s">
        <v>5833</v>
      </c>
      <c r="D886" t="s">
        <v>5331</v>
      </c>
      <c r="E886" s="54">
        <v>11136.41</v>
      </c>
      <c r="F886" s="54">
        <v>5029.76</v>
      </c>
      <c r="G886" s="54">
        <v>2736.88</v>
      </c>
      <c r="H886" s="54">
        <v>3870.86</v>
      </c>
      <c r="I886" t="s">
        <v>2877</v>
      </c>
      <c r="J886" s="31">
        <v>5029.76</v>
      </c>
      <c r="K886" s="36" t="s">
        <v>2675</v>
      </c>
      <c r="L886" t="s">
        <v>2502</v>
      </c>
      <c r="M886" t="s">
        <v>5332</v>
      </c>
      <c r="N886" t="s">
        <v>1341</v>
      </c>
      <c r="O886" t="s">
        <v>5333</v>
      </c>
      <c r="P886" t="s">
        <v>1341</v>
      </c>
      <c r="Q886" s="23">
        <v>46281.561576736109</v>
      </c>
      <c r="R886" s="32">
        <f>IF(OR(tbl_de_massas[[#This Row],[dia_vencimento]]="", tbl_de_massas[[#This Row],[dia_vencimento]]="--"), "", WORKDAY(tbl_de_massas[[#This Row],[dia_vencimento]], 5))</f>
        <v>13</v>
      </c>
    </row>
    <row r="887" spans="1:18" x14ac:dyDescent="0.25">
      <c r="A887" t="s">
        <v>5334</v>
      </c>
      <c r="B887" t="s">
        <v>5335</v>
      </c>
      <c r="C887" s="32" t="s">
        <v>2675</v>
      </c>
      <c r="D887" t="s">
        <v>3408</v>
      </c>
      <c r="E887" s="54">
        <v>3547.93</v>
      </c>
      <c r="F887" s="54">
        <v>4857.16</v>
      </c>
      <c r="G887" s="54">
        <v>11344.22</v>
      </c>
      <c r="H887" s="54">
        <v>3870.86</v>
      </c>
      <c r="I887" t="s">
        <v>2877</v>
      </c>
      <c r="J887" s="31">
        <v>4857.16</v>
      </c>
      <c r="K887" s="36" t="s">
        <v>2675</v>
      </c>
      <c r="L887" t="s">
        <v>2502</v>
      </c>
      <c r="M887" t="s">
        <v>5336</v>
      </c>
      <c r="N887" t="s">
        <v>1345</v>
      </c>
      <c r="O887" t="s">
        <v>5337</v>
      </c>
      <c r="P887" t="s">
        <v>1345</v>
      </c>
      <c r="Q887" s="23">
        <v>46281.561579062502</v>
      </c>
      <c r="R887" s="32">
        <f>IF(OR(tbl_de_massas[[#This Row],[dia_vencimento]]="", tbl_de_massas[[#This Row],[dia_vencimento]]="--"), "", WORKDAY(tbl_de_massas[[#This Row],[dia_vencimento]], 5))</f>
        <v>23</v>
      </c>
    </row>
    <row r="888" spans="1:18" x14ac:dyDescent="0.25">
      <c r="A888" t="s">
        <v>5338</v>
      </c>
      <c r="B888" t="s">
        <v>5339</v>
      </c>
      <c r="C888" s="32" t="s">
        <v>5835</v>
      </c>
      <c r="D888" t="s">
        <v>5340</v>
      </c>
      <c r="E888" s="54">
        <v>4517.32</v>
      </c>
      <c r="F888" s="54">
        <v>4686.03</v>
      </c>
      <c r="G888" s="54">
        <v>14977.58</v>
      </c>
      <c r="H888" s="54">
        <v>3870.86</v>
      </c>
      <c r="I888" t="s">
        <v>2877</v>
      </c>
      <c r="J888" s="31">
        <v>4686.03</v>
      </c>
      <c r="K888" s="36" t="s">
        <v>2675</v>
      </c>
      <c r="L888" t="s">
        <v>2502</v>
      </c>
      <c r="M888" t="s">
        <v>67</v>
      </c>
      <c r="O888" t="s">
        <v>5341</v>
      </c>
      <c r="P888" t="s">
        <v>1341</v>
      </c>
      <c r="Q888" s="23">
        <v>46281.561581412039</v>
      </c>
      <c r="R888" s="32">
        <f>IF(OR(tbl_de_massas[[#This Row],[dia_vencimento]]="", tbl_de_massas[[#This Row],[dia_vencimento]]="--"), "", WORKDAY(tbl_de_massas[[#This Row],[dia_vencimento]], 5))</f>
        <v>25</v>
      </c>
    </row>
    <row r="889" spans="1:18" x14ac:dyDescent="0.25">
      <c r="A889" t="s">
        <v>5342</v>
      </c>
      <c r="B889" t="s">
        <v>5343</v>
      </c>
      <c r="C889" s="32" t="s">
        <v>2362</v>
      </c>
      <c r="D889" t="s">
        <v>3279</v>
      </c>
      <c r="E889" s="54">
        <v>3556.79</v>
      </c>
      <c r="F889" s="54">
        <v>5096.9399999999996</v>
      </c>
      <c r="G889" s="54">
        <v>6132.04</v>
      </c>
      <c r="H889" s="54">
        <v>3870.86</v>
      </c>
      <c r="I889" t="s">
        <v>2877</v>
      </c>
      <c r="J889" s="31">
        <v>5096.9399999999996</v>
      </c>
      <c r="K889" s="36" t="s">
        <v>2675</v>
      </c>
      <c r="L889" t="s">
        <v>2502</v>
      </c>
      <c r="M889" t="s">
        <v>5344</v>
      </c>
      <c r="N889" t="s">
        <v>1345</v>
      </c>
      <c r="O889" t="s">
        <v>5345</v>
      </c>
      <c r="P889" t="s">
        <v>1345</v>
      </c>
      <c r="Q889" s="23">
        <v>46281.561583634262</v>
      </c>
      <c r="R889" s="32">
        <f>IF(OR(tbl_de_massas[[#This Row],[dia_vencimento]]="", tbl_de_massas[[#This Row],[dia_vencimento]]="--"), "", WORKDAY(tbl_de_massas[[#This Row],[dia_vencimento]], 5))</f>
        <v>20</v>
      </c>
    </row>
    <row r="890" spans="1:18" x14ac:dyDescent="0.25">
      <c r="A890" t="s">
        <v>5346</v>
      </c>
      <c r="B890" t="s">
        <v>5347</v>
      </c>
      <c r="C890" s="32" t="s">
        <v>2361</v>
      </c>
      <c r="D890" t="s">
        <v>5348</v>
      </c>
      <c r="E890" s="54">
        <v>7360.94</v>
      </c>
      <c r="F890" s="54">
        <v>4789.18</v>
      </c>
      <c r="G890" s="54">
        <v>9404.1200000000008</v>
      </c>
      <c r="H890" s="54">
        <v>3870.86</v>
      </c>
      <c r="I890" t="s">
        <v>2877</v>
      </c>
      <c r="J890" s="31">
        <v>4789.18</v>
      </c>
      <c r="K890" s="36" t="s">
        <v>2675</v>
      </c>
      <c r="L890" t="s">
        <v>2502</v>
      </c>
      <c r="M890" t="s">
        <v>67</v>
      </c>
      <c r="O890" t="s">
        <v>5349</v>
      </c>
      <c r="P890" t="s">
        <v>1341</v>
      </c>
      <c r="Q890" s="23">
        <v>46281.561585810188</v>
      </c>
      <c r="R890" s="32">
        <f>IF(OR(tbl_de_massas[[#This Row],[dia_vencimento]]="", tbl_de_massas[[#This Row],[dia_vencimento]]="--"), "", WORKDAY(tbl_de_massas[[#This Row],[dia_vencimento]], 5))</f>
        <v>20</v>
      </c>
    </row>
    <row r="891" spans="1:18" x14ac:dyDescent="0.25">
      <c r="A891" t="s">
        <v>5350</v>
      </c>
      <c r="B891" t="s">
        <v>5351</v>
      </c>
      <c r="C891" s="32" t="s">
        <v>2921</v>
      </c>
      <c r="D891" t="s">
        <v>5352</v>
      </c>
      <c r="E891" s="54">
        <v>5418.75</v>
      </c>
      <c r="F891" s="54">
        <v>5002.3500000000004</v>
      </c>
      <c r="G891" s="54">
        <v>5116.6000000000004</v>
      </c>
      <c r="H891" s="54">
        <v>3870.86</v>
      </c>
      <c r="I891" t="s">
        <v>2877</v>
      </c>
      <c r="J891" s="31">
        <v>5002.3500000000004</v>
      </c>
      <c r="K891" s="36" t="s">
        <v>2675</v>
      </c>
      <c r="L891" t="s">
        <v>2502</v>
      </c>
      <c r="M891" t="s">
        <v>5353</v>
      </c>
      <c r="N891" t="s">
        <v>1341</v>
      </c>
      <c r="O891" t="s">
        <v>67</v>
      </c>
      <c r="Q891" s="23">
        <v>46281.561587951386</v>
      </c>
      <c r="R891" s="32">
        <f>IF(OR(tbl_de_massas[[#This Row],[dia_vencimento]]="", tbl_de_massas[[#This Row],[dia_vencimento]]="--"), "", WORKDAY(tbl_de_massas[[#This Row],[dia_vencimento]], 5))</f>
        <v>13</v>
      </c>
    </row>
    <row r="892" spans="1:18" x14ac:dyDescent="0.25">
      <c r="A892" t="s">
        <v>5354</v>
      </c>
      <c r="B892" t="s">
        <v>5355</v>
      </c>
      <c r="C892" s="32" t="s">
        <v>2925</v>
      </c>
      <c r="D892" t="s">
        <v>5356</v>
      </c>
      <c r="E892" s="54">
        <v>4536.5200000000004</v>
      </c>
      <c r="F892" s="54">
        <v>4635.1099999999997</v>
      </c>
      <c r="G892" s="54">
        <v>14503.4</v>
      </c>
      <c r="H892" s="54">
        <v>3870.86</v>
      </c>
      <c r="I892" t="s">
        <v>2877</v>
      </c>
      <c r="J892" s="31">
        <v>4635.1099999999997</v>
      </c>
      <c r="K892" s="36" t="s">
        <v>2675</v>
      </c>
      <c r="L892" t="s">
        <v>2502</v>
      </c>
      <c r="M892" t="s">
        <v>67</v>
      </c>
      <c r="O892" t="s">
        <v>5357</v>
      </c>
      <c r="P892" t="s">
        <v>1341</v>
      </c>
      <c r="Q892" s="23">
        <v>46281.561590046294</v>
      </c>
      <c r="R892" s="32">
        <f>IF(OR(tbl_de_massas[[#This Row],[dia_vencimento]]="", tbl_de_massas[[#This Row],[dia_vencimento]]="--"), "", WORKDAY(tbl_de_massas[[#This Row],[dia_vencimento]], 5))</f>
        <v>24</v>
      </c>
    </row>
    <row r="893" spans="1:18" x14ac:dyDescent="0.25">
      <c r="A893" t="s">
        <v>5358</v>
      </c>
      <c r="B893" t="s">
        <v>5359</v>
      </c>
      <c r="C893" s="32" t="s">
        <v>5828</v>
      </c>
      <c r="D893" t="s">
        <v>5360</v>
      </c>
      <c r="E893" s="54">
        <v>6942.68</v>
      </c>
      <c r="F893" s="54">
        <v>5059.6400000000003</v>
      </c>
      <c r="G893" s="54">
        <v>11065.83</v>
      </c>
      <c r="H893" s="54">
        <v>3870.86</v>
      </c>
      <c r="I893" t="s">
        <v>2877</v>
      </c>
      <c r="J893" s="31">
        <v>5059.6400000000003</v>
      </c>
      <c r="K893" s="36" t="s">
        <v>2675</v>
      </c>
      <c r="L893" t="s">
        <v>2502</v>
      </c>
      <c r="M893" t="s">
        <v>67</v>
      </c>
      <c r="O893" t="s">
        <v>5361</v>
      </c>
      <c r="P893" t="s">
        <v>1341</v>
      </c>
      <c r="Q893" s="23">
        <v>46281.56159222222</v>
      </c>
      <c r="R893" s="32">
        <f>IF(OR(tbl_de_massas[[#This Row],[dia_vencimento]]="", tbl_de_massas[[#This Row],[dia_vencimento]]="--"), "", WORKDAY(tbl_de_massas[[#This Row],[dia_vencimento]], 5))</f>
        <v>33</v>
      </c>
    </row>
    <row r="894" spans="1:18" x14ac:dyDescent="0.25">
      <c r="A894" t="s">
        <v>5362</v>
      </c>
      <c r="B894" t="s">
        <v>5363</v>
      </c>
      <c r="C894" s="32" t="s">
        <v>5839</v>
      </c>
      <c r="D894" t="s">
        <v>3399</v>
      </c>
      <c r="E894" s="54">
        <v>10322.23</v>
      </c>
      <c r="F894" s="54">
        <v>5082.72</v>
      </c>
      <c r="G894" s="54">
        <v>14787.76</v>
      </c>
      <c r="H894" s="54">
        <v>3870.86</v>
      </c>
      <c r="I894" t="s">
        <v>2877</v>
      </c>
      <c r="J894" s="31">
        <v>5082.72</v>
      </c>
      <c r="K894" s="36" t="s">
        <v>2675</v>
      </c>
      <c r="L894" t="s">
        <v>2502</v>
      </c>
      <c r="M894" t="s">
        <v>67</v>
      </c>
      <c r="O894" t="s">
        <v>5364</v>
      </c>
      <c r="P894" t="s">
        <v>1341</v>
      </c>
      <c r="Q894" s="23">
        <v>46281.561594444443</v>
      </c>
      <c r="R894" s="32">
        <f>IF(OR(tbl_de_massas[[#This Row],[dia_vencimento]]="", tbl_de_massas[[#This Row],[dia_vencimento]]="--"), "", WORKDAY(tbl_de_massas[[#This Row],[dia_vencimento]], 5))</f>
        <v>31</v>
      </c>
    </row>
    <row r="895" spans="1:18" x14ac:dyDescent="0.25">
      <c r="A895" t="s">
        <v>5365</v>
      </c>
      <c r="B895" t="s">
        <v>5366</v>
      </c>
      <c r="C895" s="32" t="s">
        <v>5839</v>
      </c>
      <c r="D895" t="s">
        <v>5367</v>
      </c>
      <c r="E895" s="54">
        <v>14784.99</v>
      </c>
      <c r="F895" s="54">
        <v>4720.29</v>
      </c>
      <c r="G895" s="54">
        <v>1690.41</v>
      </c>
      <c r="H895" s="54">
        <v>3870.86</v>
      </c>
      <c r="I895" t="s">
        <v>2877</v>
      </c>
      <c r="J895" s="31">
        <v>4720.29</v>
      </c>
      <c r="K895" s="36" t="s">
        <v>2675</v>
      </c>
      <c r="L895" t="s">
        <v>2502</v>
      </c>
      <c r="M895" t="s">
        <v>5368</v>
      </c>
      <c r="N895" t="s">
        <v>1341</v>
      </c>
      <c r="O895" t="s">
        <v>67</v>
      </c>
      <c r="Q895" s="23">
        <v>46281.561596689811</v>
      </c>
      <c r="R895" s="32">
        <f>IF(OR(tbl_de_massas[[#This Row],[dia_vencimento]]="", tbl_de_massas[[#This Row],[dia_vencimento]]="--"), "", WORKDAY(tbl_de_massas[[#This Row],[dia_vencimento]], 5))</f>
        <v>31</v>
      </c>
    </row>
    <row r="896" spans="1:18" x14ac:dyDescent="0.25">
      <c r="A896" t="s">
        <v>5369</v>
      </c>
      <c r="B896" t="s">
        <v>5370</v>
      </c>
      <c r="C896" s="32" t="s">
        <v>5830</v>
      </c>
      <c r="D896" t="s">
        <v>5371</v>
      </c>
      <c r="E896" s="54">
        <v>14595.64</v>
      </c>
      <c r="F896" s="54">
        <v>4969.3100000000004</v>
      </c>
      <c r="G896" s="54">
        <v>6361.43</v>
      </c>
      <c r="H896" s="54">
        <v>3870.86</v>
      </c>
      <c r="I896" t="s">
        <v>2877</v>
      </c>
      <c r="J896" s="31">
        <v>4969.3100000000004</v>
      </c>
      <c r="K896" s="36" t="s">
        <v>2675</v>
      </c>
      <c r="L896" t="s">
        <v>2502</v>
      </c>
      <c r="M896" t="s">
        <v>67</v>
      </c>
      <c r="O896" t="s">
        <v>5372</v>
      </c>
      <c r="P896" t="s">
        <v>1341</v>
      </c>
      <c r="Q896" s="23">
        <v>46281.561598865737</v>
      </c>
      <c r="R896" s="32">
        <f>IF(OR(tbl_de_massas[[#This Row],[dia_vencimento]]="", tbl_de_massas[[#This Row],[dia_vencimento]]="--"), "", WORKDAY(tbl_de_massas[[#This Row],[dia_vencimento]], 5))</f>
        <v>13</v>
      </c>
    </row>
    <row r="897" spans="1:18" x14ac:dyDescent="0.25">
      <c r="A897" t="s">
        <v>5373</v>
      </c>
      <c r="B897" t="s">
        <v>5374</v>
      </c>
      <c r="C897" s="32" t="s">
        <v>2925</v>
      </c>
      <c r="D897" t="s">
        <v>5375</v>
      </c>
      <c r="E897" s="54">
        <v>4375.71</v>
      </c>
      <c r="F897" s="54">
        <v>4959.3500000000004</v>
      </c>
      <c r="G897" s="54">
        <v>1201.4000000000001</v>
      </c>
      <c r="H897" s="54">
        <v>3870.86</v>
      </c>
      <c r="I897" t="s">
        <v>2877</v>
      </c>
      <c r="J897" s="31">
        <v>4959.3500000000004</v>
      </c>
      <c r="K897" s="36" t="s">
        <v>2675</v>
      </c>
      <c r="L897" t="s">
        <v>2502</v>
      </c>
      <c r="M897" t="s">
        <v>5376</v>
      </c>
      <c r="N897" t="s">
        <v>1341</v>
      </c>
      <c r="O897" t="s">
        <v>67</v>
      </c>
      <c r="Q897" s="23">
        <v>46281.561600960646</v>
      </c>
      <c r="R897" s="32">
        <f>IF(OR(tbl_de_massas[[#This Row],[dia_vencimento]]="", tbl_de_massas[[#This Row],[dia_vencimento]]="--"), "", WORKDAY(tbl_de_massas[[#This Row],[dia_vencimento]], 5))</f>
        <v>24</v>
      </c>
    </row>
    <row r="898" spans="1:18" x14ac:dyDescent="0.25">
      <c r="A898" t="s">
        <v>5377</v>
      </c>
      <c r="B898" t="s">
        <v>5378</v>
      </c>
      <c r="C898" s="32" t="s">
        <v>5837</v>
      </c>
      <c r="D898" t="s">
        <v>5379</v>
      </c>
      <c r="E898" s="54">
        <v>8059.12</v>
      </c>
      <c r="F898" s="54">
        <v>4754.6099999999997</v>
      </c>
      <c r="G898" s="54">
        <v>13862.72</v>
      </c>
      <c r="H898" s="54">
        <v>3870.86</v>
      </c>
      <c r="I898" t="s">
        <v>2877</v>
      </c>
      <c r="J898" s="31">
        <v>4754.6099999999997</v>
      </c>
      <c r="K898" s="36" t="s">
        <v>2675</v>
      </c>
      <c r="L898" t="s">
        <v>2502</v>
      </c>
      <c r="M898" t="s">
        <v>5380</v>
      </c>
      <c r="N898" t="s">
        <v>1345</v>
      </c>
      <c r="O898" t="s">
        <v>67</v>
      </c>
      <c r="Q898" s="23">
        <v>46281.561603055554</v>
      </c>
      <c r="R898" s="32">
        <f>IF(OR(tbl_de_massas[[#This Row],[dia_vencimento]]="", tbl_de_massas[[#This Row],[dia_vencimento]]="--"), "", WORKDAY(tbl_de_massas[[#This Row],[dia_vencimento]], 5))</f>
        <v>9</v>
      </c>
    </row>
    <row r="899" spans="1:18" x14ac:dyDescent="0.25">
      <c r="A899" t="s">
        <v>5381</v>
      </c>
      <c r="B899" t="s">
        <v>5382</v>
      </c>
      <c r="C899" s="32" t="s">
        <v>5836</v>
      </c>
      <c r="D899" t="s">
        <v>5383</v>
      </c>
      <c r="E899" s="54">
        <v>11690.96</v>
      </c>
      <c r="F899" s="54">
        <v>0</v>
      </c>
      <c r="G899" s="54">
        <v>21559.79</v>
      </c>
      <c r="H899" s="54">
        <v>0</v>
      </c>
      <c r="I899" t="s">
        <v>2881</v>
      </c>
      <c r="J899" s="31">
        <v>870.16</v>
      </c>
      <c r="K899" s="36" t="s">
        <v>1306</v>
      </c>
      <c r="L899" t="s">
        <v>2504</v>
      </c>
      <c r="M899" t="s">
        <v>5384</v>
      </c>
      <c r="N899" t="s">
        <v>1341</v>
      </c>
      <c r="O899" t="s">
        <v>67</v>
      </c>
      <c r="Q899" s="23">
        <v>46281.561605381947</v>
      </c>
      <c r="R899" s="32">
        <f>IF(OR(tbl_de_massas[[#This Row],[dia_vencimento]]="", tbl_de_massas[[#This Row],[dia_vencimento]]="--"), "", WORKDAY(tbl_de_massas[[#This Row],[dia_vencimento]], 5))</f>
        <v>34</v>
      </c>
    </row>
    <row r="900" spans="1:18" x14ac:dyDescent="0.25">
      <c r="A900" t="s">
        <v>5385</v>
      </c>
      <c r="B900" t="s">
        <v>5386</v>
      </c>
      <c r="C900" s="32" t="s">
        <v>611</v>
      </c>
      <c r="D900" t="s">
        <v>5387</v>
      </c>
      <c r="E900" s="54">
        <v>14333.05</v>
      </c>
      <c r="F900" s="54">
        <v>0</v>
      </c>
      <c r="G900" s="54">
        <v>20724.68</v>
      </c>
      <c r="H900" s="54">
        <v>0</v>
      </c>
      <c r="I900" t="s">
        <v>2881</v>
      </c>
      <c r="J900" s="31">
        <v>886.91</v>
      </c>
      <c r="K900" s="36" t="s">
        <v>1306</v>
      </c>
      <c r="L900" t="s">
        <v>2504</v>
      </c>
      <c r="M900" t="s">
        <v>67</v>
      </c>
      <c r="O900" t="s">
        <v>5388</v>
      </c>
      <c r="P900" t="s">
        <v>1341</v>
      </c>
      <c r="Q900" s="23">
        <v>46281.561607164353</v>
      </c>
      <c r="R900" s="32">
        <f>IF(OR(tbl_de_massas[[#This Row],[dia_vencimento]]="", tbl_de_massas[[#This Row],[dia_vencimento]]="--"), "", WORKDAY(tbl_de_massas[[#This Row],[dia_vencimento]], 5))</f>
        <v>32</v>
      </c>
    </row>
    <row r="901" spans="1:18" x14ac:dyDescent="0.25">
      <c r="A901" t="s">
        <v>5389</v>
      </c>
      <c r="B901" t="s">
        <v>5390</v>
      </c>
      <c r="C901" s="32" t="s">
        <v>5837</v>
      </c>
      <c r="D901" t="s">
        <v>5391</v>
      </c>
      <c r="E901" s="54">
        <v>1183.1099999999999</v>
      </c>
      <c r="F901" s="54">
        <v>436.76</v>
      </c>
      <c r="G901" s="54">
        <v>6291.52</v>
      </c>
      <c r="H901" s="54">
        <v>0</v>
      </c>
      <c r="I901" t="s">
        <v>2881</v>
      </c>
      <c r="J901" s="31">
        <v>436.76</v>
      </c>
      <c r="K901" s="36" t="s">
        <v>1306</v>
      </c>
      <c r="L901" t="s">
        <v>2504</v>
      </c>
      <c r="M901" t="s">
        <v>5392</v>
      </c>
      <c r="N901" t="s">
        <v>1341</v>
      </c>
      <c r="O901" t="s">
        <v>67</v>
      </c>
      <c r="Q901" s="23">
        <v>46281.561608854165</v>
      </c>
      <c r="R901" s="32">
        <f>IF(OR(tbl_de_massas[[#This Row],[dia_vencimento]]="", tbl_de_massas[[#This Row],[dia_vencimento]]="--"), "", WORKDAY(tbl_de_massas[[#This Row],[dia_vencimento]], 5))</f>
        <v>9</v>
      </c>
    </row>
    <row r="902" spans="1:18" x14ac:dyDescent="0.25">
      <c r="A902" t="s">
        <v>5393</v>
      </c>
      <c r="B902" t="s">
        <v>5394</v>
      </c>
      <c r="C902" s="32" t="s">
        <v>2922</v>
      </c>
      <c r="D902" t="s">
        <v>5395</v>
      </c>
      <c r="E902" s="54">
        <v>12583.6</v>
      </c>
      <c r="F902" s="54">
        <v>742.12</v>
      </c>
      <c r="G902" s="54">
        <v>3010.33</v>
      </c>
      <c r="H902" s="54">
        <v>0</v>
      </c>
      <c r="I902" t="s">
        <v>2881</v>
      </c>
      <c r="J902" s="31">
        <v>742.12</v>
      </c>
      <c r="K902" s="36" t="s">
        <v>1306</v>
      </c>
      <c r="L902" t="s">
        <v>2504</v>
      </c>
      <c r="M902" t="s">
        <v>5396</v>
      </c>
      <c r="N902" t="s">
        <v>1345</v>
      </c>
      <c r="O902" t="s">
        <v>67</v>
      </c>
      <c r="Q902" s="23">
        <v>46281.608457604169</v>
      </c>
      <c r="R902" s="32">
        <f>IF(OR(tbl_de_massas[[#This Row],[dia_vencimento]]="", tbl_de_massas[[#This Row],[dia_vencimento]]="--"), "", WORKDAY(tbl_de_massas[[#This Row],[dia_vencimento]], 5))</f>
        <v>6</v>
      </c>
    </row>
    <row r="903" spans="1:18" x14ac:dyDescent="0.25">
      <c r="A903" t="s">
        <v>5397</v>
      </c>
      <c r="B903" t="s">
        <v>5398</v>
      </c>
      <c r="C903" s="32" t="s">
        <v>5831</v>
      </c>
      <c r="D903" t="s">
        <v>5399</v>
      </c>
      <c r="E903" s="54">
        <v>3328.04</v>
      </c>
      <c r="F903" s="54">
        <v>5070.28</v>
      </c>
      <c r="G903" s="54">
        <v>10523.07</v>
      </c>
      <c r="H903" s="54">
        <v>3870.86</v>
      </c>
      <c r="I903" t="s">
        <v>2877</v>
      </c>
      <c r="J903" s="31">
        <v>5070.28</v>
      </c>
      <c r="K903" s="36" t="s">
        <v>2675</v>
      </c>
      <c r="L903" t="s">
        <v>2502</v>
      </c>
      <c r="M903" t="s">
        <v>67</v>
      </c>
      <c r="O903" t="s">
        <v>5400</v>
      </c>
      <c r="P903" t="s">
        <v>1341</v>
      </c>
      <c r="Q903" s="23">
        <v>46281.608459965275</v>
      </c>
      <c r="R903" s="32">
        <f>IF(OR(tbl_de_massas[[#This Row],[dia_vencimento]]="", tbl_de_massas[[#This Row],[dia_vencimento]]="--"), "", WORKDAY(tbl_de_massas[[#This Row],[dia_vencimento]], 5))</f>
        <v>16</v>
      </c>
    </row>
    <row r="904" spans="1:18" x14ac:dyDescent="0.25">
      <c r="A904" t="s">
        <v>5401</v>
      </c>
      <c r="B904" t="s">
        <v>5402</v>
      </c>
      <c r="C904" s="32" t="s">
        <v>2918</v>
      </c>
      <c r="D904" t="s">
        <v>5403</v>
      </c>
      <c r="E904" s="54">
        <v>6151.97</v>
      </c>
      <c r="F904" s="54">
        <v>4988.78</v>
      </c>
      <c r="G904" s="54">
        <v>14757.95</v>
      </c>
      <c r="H904" s="54">
        <v>3870.86</v>
      </c>
      <c r="I904" t="s">
        <v>2877</v>
      </c>
      <c r="J904" s="31">
        <v>4988.78</v>
      </c>
      <c r="K904" s="36" t="s">
        <v>2675</v>
      </c>
      <c r="L904" t="s">
        <v>2502</v>
      </c>
      <c r="M904" t="s">
        <v>5404</v>
      </c>
      <c r="N904" t="s">
        <v>1341</v>
      </c>
      <c r="O904" t="s">
        <v>67</v>
      </c>
      <c r="Q904" s="23">
        <v>46281.608462662036</v>
      </c>
      <c r="R904" s="32">
        <f>IF(OR(tbl_de_massas[[#This Row],[dia_vencimento]]="", tbl_de_massas[[#This Row],[dia_vencimento]]="--"), "", WORKDAY(tbl_de_massas[[#This Row],[dia_vencimento]], 5))</f>
        <v>34</v>
      </c>
    </row>
    <row r="905" spans="1:18" x14ac:dyDescent="0.25">
      <c r="A905" t="s">
        <v>5405</v>
      </c>
      <c r="B905" t="s">
        <v>5406</v>
      </c>
      <c r="C905" s="32" t="s">
        <v>5836</v>
      </c>
      <c r="D905" t="s">
        <v>5407</v>
      </c>
      <c r="E905" s="54">
        <v>4566.74</v>
      </c>
      <c r="F905" s="54">
        <v>4654.38</v>
      </c>
      <c r="G905" s="54">
        <v>4042.31</v>
      </c>
      <c r="H905" s="54">
        <v>3870.86</v>
      </c>
      <c r="I905" t="s">
        <v>2877</v>
      </c>
      <c r="J905" s="31">
        <v>4654.38</v>
      </c>
      <c r="K905" s="36" t="s">
        <v>2675</v>
      </c>
      <c r="L905" t="s">
        <v>2502</v>
      </c>
      <c r="M905" t="s">
        <v>67</v>
      </c>
      <c r="O905" t="s">
        <v>5408</v>
      </c>
      <c r="P905" t="s">
        <v>1345</v>
      </c>
      <c r="Q905" s="23">
        <v>46281.608465173609</v>
      </c>
      <c r="R905" s="32">
        <f>IF(OR(tbl_de_massas[[#This Row],[dia_vencimento]]="", tbl_de_massas[[#This Row],[dia_vencimento]]="--"), "", WORKDAY(tbl_de_massas[[#This Row],[dia_vencimento]], 5))</f>
        <v>34</v>
      </c>
    </row>
    <row r="906" spans="1:18" x14ac:dyDescent="0.25">
      <c r="A906" t="s">
        <v>5409</v>
      </c>
      <c r="B906" t="s">
        <v>5410</v>
      </c>
      <c r="C906" s="32" t="s">
        <v>611</v>
      </c>
      <c r="D906" t="s">
        <v>5411</v>
      </c>
      <c r="E906" s="54">
        <v>8309.01</v>
      </c>
      <c r="F906" s="54">
        <v>0</v>
      </c>
      <c r="G906" s="54">
        <v>19424.240000000002</v>
      </c>
      <c r="H906" s="54">
        <v>0</v>
      </c>
      <c r="I906" t="s">
        <v>2881</v>
      </c>
      <c r="J906" s="31">
        <v>885.5</v>
      </c>
      <c r="K906" s="36" t="s">
        <v>1306</v>
      </c>
      <c r="L906" t="s">
        <v>2504</v>
      </c>
      <c r="M906" t="s">
        <v>67</v>
      </c>
      <c r="O906" t="s">
        <v>5412</v>
      </c>
      <c r="P906" t="s">
        <v>1341</v>
      </c>
      <c r="Q906" s="23">
        <v>46281.608468020837</v>
      </c>
      <c r="R906" s="32">
        <f>IF(OR(tbl_de_massas[[#This Row],[dia_vencimento]]="", tbl_de_massas[[#This Row],[dia_vencimento]]="--"), "", WORKDAY(tbl_de_massas[[#This Row],[dia_vencimento]], 5))</f>
        <v>32</v>
      </c>
    </row>
    <row r="907" spans="1:18" x14ac:dyDescent="0.25">
      <c r="A907" t="s">
        <v>5413</v>
      </c>
      <c r="B907" t="s">
        <v>5414</v>
      </c>
      <c r="C907" s="32" t="s">
        <v>5838</v>
      </c>
      <c r="D907" t="s">
        <v>5415</v>
      </c>
      <c r="E907" s="54">
        <v>15261.14</v>
      </c>
      <c r="F907" s="54">
        <v>5030.7700000000004</v>
      </c>
      <c r="G907" s="54">
        <v>5052.29</v>
      </c>
      <c r="H907" s="54">
        <v>3870.86</v>
      </c>
      <c r="I907" t="s">
        <v>2877</v>
      </c>
      <c r="J907" s="31">
        <v>5030.7700000000004</v>
      </c>
      <c r="K907" s="36" t="s">
        <v>2675</v>
      </c>
      <c r="L907" t="s">
        <v>2502</v>
      </c>
      <c r="M907" t="s">
        <v>5416</v>
      </c>
      <c r="N907" t="s">
        <v>1341</v>
      </c>
      <c r="O907" t="s">
        <v>5417</v>
      </c>
      <c r="P907" t="s">
        <v>1341</v>
      </c>
      <c r="Q907" s="23">
        <v>46281.608470069441</v>
      </c>
      <c r="R907" s="32">
        <f>IF(OR(tbl_de_massas[[#This Row],[dia_vencimento]]="", tbl_de_massas[[#This Row],[dia_vencimento]]="--"), "", WORKDAY(tbl_de_massas[[#This Row],[dia_vencimento]], 5))</f>
        <v>11</v>
      </c>
    </row>
    <row r="908" spans="1:18" x14ac:dyDescent="0.25">
      <c r="A908" t="s">
        <v>5418</v>
      </c>
      <c r="B908" t="s">
        <v>5419</v>
      </c>
      <c r="C908" s="32" t="s">
        <v>611</v>
      </c>
      <c r="D908" t="s">
        <v>5420</v>
      </c>
      <c r="E908" s="54">
        <v>8533.2099999999991</v>
      </c>
      <c r="F908" s="54">
        <v>0</v>
      </c>
      <c r="G908" s="54">
        <v>7679.98</v>
      </c>
      <c r="H908" s="54">
        <v>0</v>
      </c>
      <c r="I908" t="s">
        <v>2881</v>
      </c>
      <c r="J908" s="31">
        <v>775.14</v>
      </c>
      <c r="K908" s="36" t="s">
        <v>1306</v>
      </c>
      <c r="L908" t="s">
        <v>2504</v>
      </c>
      <c r="M908" t="s">
        <v>5421</v>
      </c>
      <c r="N908" t="s">
        <v>1345</v>
      </c>
      <c r="O908" t="s">
        <v>5422</v>
      </c>
      <c r="P908" t="s">
        <v>1345</v>
      </c>
      <c r="Q908" s="23">
        <v>46281.608472615742</v>
      </c>
      <c r="R908" s="32">
        <f>IF(OR(tbl_de_massas[[#This Row],[dia_vencimento]]="", tbl_de_massas[[#This Row],[dia_vencimento]]="--"), "", WORKDAY(tbl_de_massas[[#This Row],[dia_vencimento]], 5))</f>
        <v>32</v>
      </c>
    </row>
    <row r="909" spans="1:18" x14ac:dyDescent="0.25">
      <c r="A909" t="s">
        <v>5423</v>
      </c>
      <c r="B909" t="s">
        <v>5424</v>
      </c>
      <c r="C909" s="32" t="s">
        <v>5839</v>
      </c>
      <c r="D909" t="s">
        <v>5425</v>
      </c>
      <c r="E909" s="54">
        <v>4435.99</v>
      </c>
      <c r="F909" s="54">
        <v>0</v>
      </c>
      <c r="G909" s="54">
        <v>19762.240000000002</v>
      </c>
      <c r="H909" s="54">
        <v>0</v>
      </c>
      <c r="I909" t="s">
        <v>2881</v>
      </c>
      <c r="J909" s="31">
        <v>955.55</v>
      </c>
      <c r="K909" s="36" t="s">
        <v>1306</v>
      </c>
      <c r="L909" t="s">
        <v>2504</v>
      </c>
      <c r="M909" t="s">
        <v>5426</v>
      </c>
      <c r="N909" t="s">
        <v>1341</v>
      </c>
      <c r="O909" t="s">
        <v>5427</v>
      </c>
      <c r="P909" t="s">
        <v>1341</v>
      </c>
      <c r="Q909" s="23">
        <v>46281.608474548608</v>
      </c>
      <c r="R909" s="32">
        <f>IF(OR(tbl_de_massas[[#This Row],[dia_vencimento]]="", tbl_de_massas[[#This Row],[dia_vencimento]]="--"), "", WORKDAY(tbl_de_massas[[#This Row],[dia_vencimento]], 5))</f>
        <v>31</v>
      </c>
    </row>
    <row r="910" spans="1:18" x14ac:dyDescent="0.25">
      <c r="A910" t="s">
        <v>5428</v>
      </c>
      <c r="B910" t="s">
        <v>5429</v>
      </c>
      <c r="C910" s="32" t="s">
        <v>2360</v>
      </c>
      <c r="D910" t="s">
        <v>5430</v>
      </c>
      <c r="E910" s="54">
        <v>11494.07</v>
      </c>
      <c r="F910" s="54">
        <v>940.82</v>
      </c>
      <c r="G910" s="54">
        <v>12647.52</v>
      </c>
      <c r="H910" s="54">
        <v>0</v>
      </c>
      <c r="I910" t="s">
        <v>2881</v>
      </c>
      <c r="J910" s="31">
        <v>940.82</v>
      </c>
      <c r="K910" s="36" t="s">
        <v>1306</v>
      </c>
      <c r="L910" t="s">
        <v>2504</v>
      </c>
      <c r="M910" t="s">
        <v>5431</v>
      </c>
      <c r="N910" t="s">
        <v>1341</v>
      </c>
      <c r="O910" t="s">
        <v>67</v>
      </c>
      <c r="Q910" s="23">
        <v>46281.608476504633</v>
      </c>
      <c r="R910" s="32">
        <f>IF(OR(tbl_de_massas[[#This Row],[dia_vencimento]]="", tbl_de_massas[[#This Row],[dia_vencimento]]="--"), "", WORKDAY(tbl_de_massas[[#This Row],[dia_vencimento]], 5))</f>
        <v>19</v>
      </c>
    </row>
    <row r="911" spans="1:18" x14ac:dyDescent="0.25">
      <c r="A911" t="s">
        <v>5432</v>
      </c>
      <c r="B911" t="s">
        <v>5433</v>
      </c>
      <c r="C911" s="32" t="s">
        <v>2925</v>
      </c>
      <c r="D911" t="s">
        <v>5434</v>
      </c>
      <c r="E911" s="54">
        <v>13257.93</v>
      </c>
      <c r="F911" s="54">
        <v>95.61</v>
      </c>
      <c r="G911" s="54">
        <v>16696.61</v>
      </c>
      <c r="H911" s="54">
        <v>0</v>
      </c>
      <c r="I911" t="s">
        <v>2881</v>
      </c>
      <c r="J911" s="31">
        <v>430.21</v>
      </c>
      <c r="K911" s="36" t="s">
        <v>1306</v>
      </c>
      <c r="L911" t="s">
        <v>2504</v>
      </c>
      <c r="M911" t="s">
        <v>5435</v>
      </c>
      <c r="N911" t="s">
        <v>1341</v>
      </c>
      <c r="O911" t="s">
        <v>5436</v>
      </c>
      <c r="P911" t="s">
        <v>1341</v>
      </c>
      <c r="Q911" s="23">
        <v>46281.608478761576</v>
      </c>
      <c r="R911" s="32">
        <f>IF(OR(tbl_de_massas[[#This Row],[dia_vencimento]]="", tbl_de_massas[[#This Row],[dia_vencimento]]="--"), "", WORKDAY(tbl_de_massas[[#This Row],[dia_vencimento]], 5))</f>
        <v>24</v>
      </c>
    </row>
    <row r="912" spans="1:18" x14ac:dyDescent="0.25">
      <c r="A912" t="s">
        <v>5437</v>
      </c>
      <c r="B912" t="s">
        <v>5438</v>
      </c>
      <c r="C912" s="32" t="s">
        <v>5829</v>
      </c>
      <c r="D912" t="s">
        <v>5439</v>
      </c>
      <c r="E912" s="54">
        <v>8856.06</v>
      </c>
      <c r="F912" s="54">
        <v>0</v>
      </c>
      <c r="G912" s="54">
        <v>2638.86</v>
      </c>
      <c r="H912" s="54">
        <v>0</v>
      </c>
      <c r="I912" t="s">
        <v>2881</v>
      </c>
      <c r="J912" s="31">
        <v>929.71</v>
      </c>
      <c r="K912" s="36" t="s">
        <v>1306</v>
      </c>
      <c r="L912" t="s">
        <v>2504</v>
      </c>
      <c r="M912" t="s">
        <v>5440</v>
      </c>
      <c r="N912" t="s">
        <v>1341</v>
      </c>
      <c r="O912" t="s">
        <v>5441</v>
      </c>
      <c r="P912" t="s">
        <v>1341</v>
      </c>
      <c r="Q912" s="23">
        <v>46281.608480925926</v>
      </c>
      <c r="R912" s="32">
        <f>IF(OR(tbl_de_massas[[#This Row],[dia_vencimento]]="", tbl_de_massas[[#This Row],[dia_vencimento]]="--"), "", WORKDAY(tbl_de_massas[[#This Row],[dia_vencimento]], 5))</f>
        <v>30</v>
      </c>
    </row>
    <row r="913" spans="1:18" x14ac:dyDescent="0.25">
      <c r="A913" t="s">
        <v>5442</v>
      </c>
      <c r="B913" t="s">
        <v>5443</v>
      </c>
      <c r="C913" s="32" t="s">
        <v>5839</v>
      </c>
      <c r="D913" t="s">
        <v>5444</v>
      </c>
      <c r="E913" s="54">
        <v>1511.95</v>
      </c>
      <c r="F913" s="54">
        <v>4949.67</v>
      </c>
      <c r="G913" s="54">
        <v>827.25</v>
      </c>
      <c r="H913" s="54">
        <v>3870.86</v>
      </c>
      <c r="I913" t="s">
        <v>2877</v>
      </c>
      <c r="J913" s="31">
        <v>4949.67</v>
      </c>
      <c r="K913" s="36" t="s">
        <v>2675</v>
      </c>
      <c r="L913" t="s">
        <v>2502</v>
      </c>
      <c r="M913" t="s">
        <v>5445</v>
      </c>
      <c r="N913" t="s">
        <v>1341</v>
      </c>
      <c r="O913" t="s">
        <v>67</v>
      </c>
      <c r="Q913" s="23">
        <v>46281.608482638891</v>
      </c>
      <c r="R913" s="32">
        <f>IF(OR(tbl_de_massas[[#This Row],[dia_vencimento]]="", tbl_de_massas[[#This Row],[dia_vencimento]]="--"), "", WORKDAY(tbl_de_massas[[#This Row],[dia_vencimento]], 5))</f>
        <v>31</v>
      </c>
    </row>
    <row r="914" spans="1:18" x14ac:dyDescent="0.25">
      <c r="A914" t="s">
        <v>5446</v>
      </c>
      <c r="B914" t="s">
        <v>5447</v>
      </c>
      <c r="C914" s="32" t="s">
        <v>608</v>
      </c>
      <c r="D914" t="s">
        <v>5448</v>
      </c>
      <c r="E914" s="54">
        <v>11928.61</v>
      </c>
      <c r="F914" s="54">
        <v>0</v>
      </c>
      <c r="G914" s="54">
        <v>13075.69</v>
      </c>
      <c r="H914" s="54">
        <v>0</v>
      </c>
      <c r="I914" t="s">
        <v>2881</v>
      </c>
      <c r="J914" s="31">
        <v>450.71</v>
      </c>
      <c r="K914" s="36" t="s">
        <v>1306</v>
      </c>
      <c r="L914" t="s">
        <v>2504</v>
      </c>
      <c r="M914" t="s">
        <v>5449</v>
      </c>
      <c r="N914" t="s">
        <v>1341</v>
      </c>
      <c r="O914" t="s">
        <v>5450</v>
      </c>
      <c r="P914" t="s">
        <v>1341</v>
      </c>
      <c r="Q914" s="23">
        <v>46281.608484745368</v>
      </c>
      <c r="R914" s="32">
        <f>IF(OR(tbl_de_massas[[#This Row],[dia_vencimento]]="", tbl_de_massas[[#This Row],[dia_vencimento]]="--"), "", WORKDAY(tbl_de_massas[[#This Row],[dia_vencimento]], 5))</f>
        <v>27</v>
      </c>
    </row>
    <row r="915" spans="1:18" x14ac:dyDescent="0.25">
      <c r="A915" t="s">
        <v>5451</v>
      </c>
      <c r="B915" t="s">
        <v>5452</v>
      </c>
      <c r="C915" s="32" t="s">
        <v>5831</v>
      </c>
      <c r="D915" t="s">
        <v>5453</v>
      </c>
      <c r="E915" s="54">
        <v>3918.87</v>
      </c>
      <c r="F915" s="54">
        <v>516.34</v>
      </c>
      <c r="G915" s="54">
        <v>11058.97</v>
      </c>
      <c r="H915" s="54">
        <v>0</v>
      </c>
      <c r="I915" t="s">
        <v>2881</v>
      </c>
      <c r="J915" s="31">
        <v>516.34</v>
      </c>
      <c r="K915" s="36" t="s">
        <v>1306</v>
      </c>
      <c r="L915" t="s">
        <v>2504</v>
      </c>
      <c r="M915" t="s">
        <v>5454</v>
      </c>
      <c r="N915" t="s">
        <v>1341</v>
      </c>
      <c r="O915" t="s">
        <v>67</v>
      </c>
      <c r="Q915" s="23">
        <v>46281.608486504629</v>
      </c>
      <c r="R915" s="32">
        <f>IF(OR(tbl_de_massas[[#This Row],[dia_vencimento]]="", tbl_de_massas[[#This Row],[dia_vencimento]]="--"), "", WORKDAY(tbl_de_massas[[#This Row],[dia_vencimento]], 5))</f>
        <v>16</v>
      </c>
    </row>
    <row r="916" spans="1:18" x14ac:dyDescent="0.25">
      <c r="A916" t="s">
        <v>5455</v>
      </c>
      <c r="B916" t="s">
        <v>5456</v>
      </c>
      <c r="C916" s="32" t="s">
        <v>5827</v>
      </c>
      <c r="D916" t="s">
        <v>5457</v>
      </c>
      <c r="E916" s="54">
        <v>12258.07</v>
      </c>
      <c r="F916" s="54">
        <v>726.19</v>
      </c>
      <c r="G916" s="54">
        <v>18210.990000000002</v>
      </c>
      <c r="H916" s="54">
        <v>0</v>
      </c>
      <c r="I916" t="s">
        <v>2881</v>
      </c>
      <c r="J916" s="31">
        <v>726.19</v>
      </c>
      <c r="K916" s="36" t="s">
        <v>1306</v>
      </c>
      <c r="L916" t="s">
        <v>2504</v>
      </c>
      <c r="M916" t="s">
        <v>5458</v>
      </c>
      <c r="N916" t="s">
        <v>1341</v>
      </c>
      <c r="O916" t="s">
        <v>5459</v>
      </c>
      <c r="P916" t="s">
        <v>1341</v>
      </c>
      <c r="Q916" s="23">
        <v>46281.60848815972</v>
      </c>
      <c r="R916" s="32">
        <f>IF(OR(tbl_de_massas[[#This Row],[dia_vencimento]]="", tbl_de_massas[[#This Row],[dia_vencimento]]="--"), "", WORKDAY(tbl_de_massas[[#This Row],[dia_vencimento]], 5))</f>
        <v>12</v>
      </c>
    </row>
    <row r="917" spans="1:18" x14ac:dyDescent="0.25">
      <c r="A917" t="s">
        <v>5460</v>
      </c>
      <c r="B917" t="s">
        <v>5461</v>
      </c>
      <c r="C917" s="32" t="s">
        <v>2362</v>
      </c>
      <c r="D917" t="s">
        <v>5462</v>
      </c>
      <c r="E917" s="54">
        <v>1356.33</v>
      </c>
      <c r="F917" s="54">
        <v>4982.1400000000003</v>
      </c>
      <c r="G917" s="54">
        <v>-1770.81</v>
      </c>
      <c r="H917" s="54">
        <v>3870.86</v>
      </c>
      <c r="I917" t="s">
        <v>2877</v>
      </c>
      <c r="J917" s="31">
        <v>4982.1400000000003</v>
      </c>
      <c r="K917" s="36" t="s">
        <v>2675</v>
      </c>
      <c r="L917" t="s">
        <v>2502</v>
      </c>
      <c r="M917" t="s">
        <v>5463</v>
      </c>
      <c r="N917" t="s">
        <v>1341</v>
      </c>
      <c r="O917" t="s">
        <v>67</v>
      </c>
      <c r="Q917" s="23">
        <v>46281.60849017361</v>
      </c>
      <c r="R917" s="32">
        <f>IF(OR(tbl_de_massas[[#This Row],[dia_vencimento]]="", tbl_de_massas[[#This Row],[dia_vencimento]]="--"), "", WORKDAY(tbl_de_massas[[#This Row],[dia_vencimento]], 5))</f>
        <v>20</v>
      </c>
    </row>
    <row r="918" spans="1:18" x14ac:dyDescent="0.25">
      <c r="A918" t="s">
        <v>5464</v>
      </c>
      <c r="B918" t="s">
        <v>5465</v>
      </c>
      <c r="C918" s="32" t="s">
        <v>608</v>
      </c>
      <c r="D918" t="s">
        <v>5466</v>
      </c>
      <c r="E918" s="54">
        <v>6038.19</v>
      </c>
      <c r="F918" s="54">
        <v>0</v>
      </c>
      <c r="G918" s="54">
        <v>5537.38</v>
      </c>
      <c r="H918" s="54">
        <v>0</v>
      </c>
      <c r="I918" t="s">
        <v>2881</v>
      </c>
      <c r="J918" s="31">
        <v>779.29</v>
      </c>
      <c r="K918" s="36" t="s">
        <v>1306</v>
      </c>
      <c r="L918" t="s">
        <v>2504</v>
      </c>
      <c r="M918" t="s">
        <v>5467</v>
      </c>
      <c r="N918" t="s">
        <v>1345</v>
      </c>
      <c r="O918" t="s">
        <v>5468</v>
      </c>
      <c r="P918" t="s">
        <v>1345</v>
      </c>
      <c r="Q918" s="23">
        <v>46281.608492268519</v>
      </c>
      <c r="R918" s="32">
        <f>IF(OR(tbl_de_massas[[#This Row],[dia_vencimento]]="", tbl_de_massas[[#This Row],[dia_vencimento]]="--"), "", WORKDAY(tbl_de_massas[[#This Row],[dia_vencimento]], 5))</f>
        <v>27</v>
      </c>
    </row>
    <row r="919" spans="1:18" x14ac:dyDescent="0.25">
      <c r="A919" t="s">
        <v>5469</v>
      </c>
      <c r="B919" t="s">
        <v>5470</v>
      </c>
      <c r="C919" s="32" t="s">
        <v>2921</v>
      </c>
      <c r="D919" t="s">
        <v>5471</v>
      </c>
      <c r="E919" s="54">
        <v>13149.56</v>
      </c>
      <c r="F919" s="54">
        <v>4863.8599999999997</v>
      </c>
      <c r="G919" s="54">
        <v>9212.75</v>
      </c>
      <c r="H919" s="54">
        <v>3870.86</v>
      </c>
      <c r="I919" t="s">
        <v>2877</v>
      </c>
      <c r="J919" s="31">
        <v>4863.8599999999997</v>
      </c>
      <c r="K919" s="36" t="s">
        <v>2675</v>
      </c>
      <c r="L919" t="s">
        <v>2502</v>
      </c>
      <c r="M919" t="s">
        <v>5472</v>
      </c>
      <c r="N919" t="s">
        <v>1341</v>
      </c>
      <c r="O919" t="s">
        <v>67</v>
      </c>
      <c r="Q919" s="23">
        <v>46281.608494016204</v>
      </c>
      <c r="R919" s="32">
        <f>IF(OR(tbl_de_massas[[#This Row],[dia_vencimento]]="", tbl_de_massas[[#This Row],[dia_vencimento]]="--"), "", WORKDAY(tbl_de_massas[[#This Row],[dia_vencimento]], 5))</f>
        <v>13</v>
      </c>
    </row>
    <row r="920" spans="1:18" x14ac:dyDescent="0.25">
      <c r="A920" t="s">
        <v>5473</v>
      </c>
      <c r="B920" t="s">
        <v>5474</v>
      </c>
      <c r="C920" s="32" t="s">
        <v>5831</v>
      </c>
      <c r="D920" t="s">
        <v>5475</v>
      </c>
      <c r="E920" s="54">
        <v>7293.59</v>
      </c>
      <c r="F920" s="54">
        <v>4714.4399999999996</v>
      </c>
      <c r="G920" s="54">
        <v>15925.5</v>
      </c>
      <c r="H920" s="54">
        <v>3870.86</v>
      </c>
      <c r="I920" t="s">
        <v>2877</v>
      </c>
      <c r="J920" s="31">
        <v>4714.4399999999996</v>
      </c>
      <c r="K920" s="36" t="s">
        <v>2675</v>
      </c>
      <c r="L920" t="s">
        <v>2502</v>
      </c>
      <c r="M920" t="s">
        <v>5476</v>
      </c>
      <c r="N920" t="s">
        <v>1341</v>
      </c>
      <c r="O920" t="s">
        <v>5477</v>
      </c>
      <c r="P920" t="s">
        <v>1341</v>
      </c>
      <c r="Q920" s="23">
        <v>46281.608496238427</v>
      </c>
      <c r="R920" s="32">
        <f>IF(OR(tbl_de_massas[[#This Row],[dia_vencimento]]="", tbl_de_massas[[#This Row],[dia_vencimento]]="--"), "", WORKDAY(tbl_de_massas[[#This Row],[dia_vencimento]], 5))</f>
        <v>16</v>
      </c>
    </row>
    <row r="921" spans="1:18" x14ac:dyDescent="0.25">
      <c r="A921" t="s">
        <v>5478</v>
      </c>
      <c r="B921" t="s">
        <v>5479</v>
      </c>
      <c r="C921" s="32" t="s">
        <v>2361</v>
      </c>
      <c r="D921" t="s">
        <v>5480</v>
      </c>
      <c r="E921" s="54">
        <v>1176.3699999999999</v>
      </c>
      <c r="F921" s="54">
        <v>828.12</v>
      </c>
      <c r="G921" s="54">
        <v>1842.41</v>
      </c>
      <c r="H921" s="54">
        <v>0</v>
      </c>
      <c r="I921" t="s">
        <v>2881</v>
      </c>
      <c r="J921" s="31">
        <v>828.12</v>
      </c>
      <c r="K921" s="36" t="s">
        <v>1306</v>
      </c>
      <c r="L921" t="s">
        <v>2504</v>
      </c>
      <c r="M921" t="s">
        <v>67</v>
      </c>
      <c r="O921" t="s">
        <v>5481</v>
      </c>
      <c r="P921" t="s">
        <v>1341</v>
      </c>
      <c r="Q921" s="23">
        <v>46281.60849849537</v>
      </c>
      <c r="R921" s="32">
        <f>IF(OR(tbl_de_massas[[#This Row],[dia_vencimento]]="", tbl_de_massas[[#This Row],[dia_vencimento]]="--"), "", WORKDAY(tbl_de_massas[[#This Row],[dia_vencimento]], 5))</f>
        <v>20</v>
      </c>
    </row>
    <row r="922" spans="1:18" x14ac:dyDescent="0.25">
      <c r="A922" t="s">
        <v>5482</v>
      </c>
      <c r="B922" t="s">
        <v>5483</v>
      </c>
      <c r="C922" s="32" t="s">
        <v>5833</v>
      </c>
      <c r="D922" t="s">
        <v>5484</v>
      </c>
      <c r="E922" s="54">
        <v>7375.24</v>
      </c>
      <c r="F922" s="54">
        <v>814.01</v>
      </c>
      <c r="G922" s="54">
        <v>3550.96</v>
      </c>
      <c r="H922" s="54">
        <v>0</v>
      </c>
      <c r="I922" t="s">
        <v>2881</v>
      </c>
      <c r="J922" s="31">
        <v>814.01</v>
      </c>
      <c r="K922" s="36" t="s">
        <v>1306</v>
      </c>
      <c r="L922" t="s">
        <v>2504</v>
      </c>
      <c r="M922" t="s">
        <v>5485</v>
      </c>
      <c r="N922" t="s">
        <v>1341</v>
      </c>
      <c r="O922" t="s">
        <v>67</v>
      </c>
      <c r="Q922" s="23">
        <v>46281.60850047454</v>
      </c>
      <c r="R922" s="32">
        <f>IF(OR(tbl_de_massas[[#This Row],[dia_vencimento]]="", tbl_de_massas[[#This Row],[dia_vencimento]]="--"), "", WORKDAY(tbl_de_massas[[#This Row],[dia_vencimento]], 5))</f>
        <v>13</v>
      </c>
    </row>
    <row r="923" spans="1:18" x14ac:dyDescent="0.25">
      <c r="A923" t="s">
        <v>5486</v>
      </c>
      <c r="B923" t="s">
        <v>5487</v>
      </c>
      <c r="C923" s="32" t="s">
        <v>2924</v>
      </c>
      <c r="D923" t="s">
        <v>5488</v>
      </c>
      <c r="E923" s="54">
        <v>14675.4</v>
      </c>
      <c r="F923" s="54">
        <v>4885.24</v>
      </c>
      <c r="G923" s="54">
        <v>12718.05</v>
      </c>
      <c r="H923" s="54">
        <v>3870.86</v>
      </c>
      <c r="I923" t="s">
        <v>2877</v>
      </c>
      <c r="J923" s="31">
        <v>4885.24</v>
      </c>
      <c r="K923" s="36" t="s">
        <v>2675</v>
      </c>
      <c r="L923" t="s">
        <v>2502</v>
      </c>
      <c r="M923" t="s">
        <v>5489</v>
      </c>
      <c r="N923" t="s">
        <v>1341</v>
      </c>
      <c r="O923" t="s">
        <v>67</v>
      </c>
      <c r="Q923" s="23">
        <v>46281.60850263889</v>
      </c>
      <c r="R923" s="32">
        <f>IF(OR(tbl_de_massas[[#This Row],[dia_vencimento]]="", tbl_de_massas[[#This Row],[dia_vencimento]]="--"), "", WORKDAY(tbl_de_massas[[#This Row],[dia_vencimento]], 5))</f>
        <v>26</v>
      </c>
    </row>
    <row r="924" spans="1:18" x14ac:dyDescent="0.25">
      <c r="A924" t="s">
        <v>5490</v>
      </c>
      <c r="B924" t="s">
        <v>5491</v>
      </c>
      <c r="C924" s="32" t="s">
        <v>5838</v>
      </c>
      <c r="D924" t="s">
        <v>5492</v>
      </c>
      <c r="E924" s="54">
        <v>9853.5</v>
      </c>
      <c r="F924" s="54">
        <v>974.79</v>
      </c>
      <c r="G924" s="54">
        <v>15668.81</v>
      </c>
      <c r="H924" s="54">
        <v>0</v>
      </c>
      <c r="I924" t="s">
        <v>2881</v>
      </c>
      <c r="J924" s="31">
        <v>974.79</v>
      </c>
      <c r="K924" s="36" t="s">
        <v>1306</v>
      </c>
      <c r="L924" t="s">
        <v>2504</v>
      </c>
      <c r="M924" t="s">
        <v>67</v>
      </c>
      <c r="O924" t="s">
        <v>5493</v>
      </c>
      <c r="P924" t="s">
        <v>1341</v>
      </c>
      <c r="Q924" s="23">
        <v>46281.608504884258</v>
      </c>
      <c r="R924" s="32">
        <f>IF(OR(tbl_de_massas[[#This Row],[dia_vencimento]]="", tbl_de_massas[[#This Row],[dia_vencimento]]="--"), "", WORKDAY(tbl_de_massas[[#This Row],[dia_vencimento]], 5))</f>
        <v>11</v>
      </c>
    </row>
    <row r="925" spans="1:18" x14ac:dyDescent="0.25">
      <c r="A925" t="s">
        <v>5494</v>
      </c>
      <c r="B925" t="s">
        <v>5495</v>
      </c>
      <c r="C925" s="32" t="s">
        <v>2917</v>
      </c>
      <c r="D925" t="s">
        <v>5496</v>
      </c>
      <c r="E925" s="54">
        <v>9066.7199999999993</v>
      </c>
      <c r="F925" s="54">
        <v>4872.42</v>
      </c>
      <c r="G925" s="54">
        <v>6422.08</v>
      </c>
      <c r="H925" s="54">
        <v>3870.86</v>
      </c>
      <c r="I925" t="s">
        <v>2877</v>
      </c>
      <c r="J925" s="31">
        <v>4872.42</v>
      </c>
      <c r="K925" s="36" t="s">
        <v>2675</v>
      </c>
      <c r="L925" t="s">
        <v>2502</v>
      </c>
      <c r="M925" t="s">
        <v>67</v>
      </c>
      <c r="O925" t="s">
        <v>5497</v>
      </c>
      <c r="P925" t="s">
        <v>1341</v>
      </c>
      <c r="Q925" s="23">
        <v>46281.608506805554</v>
      </c>
      <c r="R925" s="32">
        <f>IF(OR(tbl_de_massas[[#This Row],[dia_vencimento]]="", tbl_de_massas[[#This Row],[dia_vencimento]]="--"), "", WORKDAY(tbl_de_massas[[#This Row],[dia_vencimento]], 5))</f>
        <v>27</v>
      </c>
    </row>
    <row r="926" spans="1:18" x14ac:dyDescent="0.25">
      <c r="A926" t="s">
        <v>5498</v>
      </c>
      <c r="B926" t="s">
        <v>5499</v>
      </c>
      <c r="C926" s="32" t="s">
        <v>5831</v>
      </c>
      <c r="D926" t="s">
        <v>5500</v>
      </c>
      <c r="E926" s="54">
        <v>1034.3499999999999</v>
      </c>
      <c r="F926" s="54">
        <v>481.33</v>
      </c>
      <c r="G926" s="54">
        <v>10119.61</v>
      </c>
      <c r="H926" s="54">
        <v>0</v>
      </c>
      <c r="I926" t="s">
        <v>2881</v>
      </c>
      <c r="J926" s="31">
        <v>481.33</v>
      </c>
      <c r="K926" s="36" t="s">
        <v>1306</v>
      </c>
      <c r="L926" t="s">
        <v>2504</v>
      </c>
      <c r="M926" t="s">
        <v>5501</v>
      </c>
      <c r="N926" t="s">
        <v>1341</v>
      </c>
      <c r="O926" t="s">
        <v>5502</v>
      </c>
      <c r="P926" t="s">
        <v>1341</v>
      </c>
      <c r="Q926" s="23">
        <v>46281.608508958336</v>
      </c>
      <c r="R926" s="32">
        <f>IF(OR(tbl_de_massas[[#This Row],[dia_vencimento]]="", tbl_de_massas[[#This Row],[dia_vencimento]]="--"), "", WORKDAY(tbl_de_massas[[#This Row],[dia_vencimento]], 5))</f>
        <v>16</v>
      </c>
    </row>
    <row r="927" spans="1:18" x14ac:dyDescent="0.25">
      <c r="A927" t="s">
        <v>5503</v>
      </c>
      <c r="B927" t="s">
        <v>5504</v>
      </c>
      <c r="C927" s="32" t="s">
        <v>605</v>
      </c>
      <c r="D927" t="s">
        <v>5505</v>
      </c>
      <c r="E927" s="54">
        <v>7620.12</v>
      </c>
      <c r="F927" s="54">
        <v>951.84</v>
      </c>
      <c r="G927" s="54">
        <v>17889.41</v>
      </c>
      <c r="H927" s="54">
        <v>0</v>
      </c>
      <c r="I927" t="s">
        <v>2881</v>
      </c>
      <c r="J927" s="31">
        <v>951.84</v>
      </c>
      <c r="K927" s="36" t="s">
        <v>1306</v>
      </c>
      <c r="L927" t="s">
        <v>2504</v>
      </c>
      <c r="M927" t="s">
        <v>5506</v>
      </c>
      <c r="N927" t="s">
        <v>1345</v>
      </c>
      <c r="O927" t="s">
        <v>67</v>
      </c>
      <c r="Q927" s="23">
        <v>46281.608510694445</v>
      </c>
      <c r="R927" s="32">
        <f>IF(OR(tbl_de_massas[[#This Row],[dia_vencimento]]="", tbl_de_massas[[#This Row],[dia_vencimento]]="--"), "", WORKDAY(tbl_de_massas[[#This Row],[dia_vencimento]], 5))</f>
        <v>17</v>
      </c>
    </row>
    <row r="928" spans="1:18" x14ac:dyDescent="0.25">
      <c r="A928" t="s">
        <v>5507</v>
      </c>
      <c r="B928" t="s">
        <v>5508</v>
      </c>
      <c r="C928" s="32" t="s">
        <v>5829</v>
      </c>
      <c r="D928" t="s">
        <v>5509</v>
      </c>
      <c r="E928" s="54">
        <v>1988.51</v>
      </c>
      <c r="F928" s="54">
        <v>0</v>
      </c>
      <c r="G928" s="54">
        <v>11697.03</v>
      </c>
      <c r="H928" s="54">
        <v>0</v>
      </c>
      <c r="I928" t="s">
        <v>2881</v>
      </c>
      <c r="J928" s="31">
        <v>453.95</v>
      </c>
      <c r="K928" s="36" t="s">
        <v>1306</v>
      </c>
      <c r="L928" t="s">
        <v>2504</v>
      </c>
      <c r="M928" t="s">
        <v>5510</v>
      </c>
      <c r="N928" t="s">
        <v>1345</v>
      </c>
      <c r="O928" t="s">
        <v>5511</v>
      </c>
      <c r="P928" t="s">
        <v>1345</v>
      </c>
      <c r="Q928" s="23">
        <v>46281.608512511571</v>
      </c>
      <c r="R928" s="32">
        <f>IF(OR(tbl_de_massas[[#This Row],[dia_vencimento]]="", tbl_de_massas[[#This Row],[dia_vencimento]]="--"), "", WORKDAY(tbl_de_massas[[#This Row],[dia_vencimento]], 5))</f>
        <v>30</v>
      </c>
    </row>
    <row r="929" spans="1:18" x14ac:dyDescent="0.25">
      <c r="A929" t="s">
        <v>5512</v>
      </c>
      <c r="B929" t="s">
        <v>5513</v>
      </c>
      <c r="C929" s="32" t="s">
        <v>5837</v>
      </c>
      <c r="D929" t="s">
        <v>5514</v>
      </c>
      <c r="E929" s="54">
        <v>10216.14</v>
      </c>
      <c r="F929" s="54">
        <v>559.02</v>
      </c>
      <c r="G929" s="54">
        <v>9154.43</v>
      </c>
      <c r="H929" s="54">
        <v>0</v>
      </c>
      <c r="I929" t="s">
        <v>2881</v>
      </c>
      <c r="J929" s="31">
        <v>559.02</v>
      </c>
      <c r="K929" s="36" t="s">
        <v>1306</v>
      </c>
      <c r="L929" t="s">
        <v>2504</v>
      </c>
      <c r="M929" t="s">
        <v>5515</v>
      </c>
      <c r="N929" t="s">
        <v>1341</v>
      </c>
      <c r="O929" t="s">
        <v>5516</v>
      </c>
      <c r="P929" t="s">
        <v>1341</v>
      </c>
      <c r="Q929" s="23">
        <v>46281.608514270833</v>
      </c>
      <c r="R929" s="32">
        <f>IF(OR(tbl_de_massas[[#This Row],[dia_vencimento]]="", tbl_de_massas[[#This Row],[dia_vencimento]]="--"), "", WORKDAY(tbl_de_massas[[#This Row],[dia_vencimento]], 5))</f>
        <v>9</v>
      </c>
    </row>
    <row r="930" spans="1:18" x14ac:dyDescent="0.25">
      <c r="A930" t="s">
        <v>5517</v>
      </c>
      <c r="B930" t="s">
        <v>5518</v>
      </c>
      <c r="C930" s="32" t="s">
        <v>5834</v>
      </c>
      <c r="D930" t="s">
        <v>5519</v>
      </c>
      <c r="E930" s="54">
        <v>10020.06</v>
      </c>
      <c r="F930" s="54">
        <v>5016.8</v>
      </c>
      <c r="G930" s="54">
        <v>6471.1</v>
      </c>
      <c r="H930" s="54">
        <v>3870.86</v>
      </c>
      <c r="I930" t="s">
        <v>2877</v>
      </c>
      <c r="J930" s="31">
        <v>5016.8</v>
      </c>
      <c r="K930" s="36" t="s">
        <v>2675</v>
      </c>
      <c r="L930" t="s">
        <v>2502</v>
      </c>
      <c r="M930" t="s">
        <v>5520</v>
      </c>
      <c r="N930" t="s">
        <v>1341</v>
      </c>
      <c r="O930" t="s">
        <v>5521</v>
      </c>
      <c r="P930" t="s">
        <v>1341</v>
      </c>
      <c r="Q930" s="23">
        <v>46281.608516006941</v>
      </c>
      <c r="R930" s="32">
        <f>IF(OR(tbl_de_massas[[#This Row],[dia_vencimento]]="", tbl_de_massas[[#This Row],[dia_vencimento]]="--"), "", WORKDAY(tbl_de_massas[[#This Row],[dia_vencimento]], 5))</f>
        <v>10</v>
      </c>
    </row>
    <row r="931" spans="1:18" x14ac:dyDescent="0.25">
      <c r="A931" t="s">
        <v>5522</v>
      </c>
      <c r="B931" t="s">
        <v>5523</v>
      </c>
      <c r="C931" s="32" t="s">
        <v>2361</v>
      </c>
      <c r="D931" t="s">
        <v>5524</v>
      </c>
      <c r="E931" s="54">
        <v>10556.88</v>
      </c>
      <c r="F931" s="54">
        <v>935.11</v>
      </c>
      <c r="G931" s="54">
        <v>2826.97</v>
      </c>
      <c r="H931" s="54">
        <v>0</v>
      </c>
      <c r="I931" t="s">
        <v>2881</v>
      </c>
      <c r="J931" s="31">
        <v>935.11</v>
      </c>
      <c r="K931" s="36" t="s">
        <v>1306</v>
      </c>
      <c r="L931" t="s">
        <v>2504</v>
      </c>
      <c r="M931" t="s">
        <v>5525</v>
      </c>
      <c r="N931" t="s">
        <v>1341</v>
      </c>
      <c r="O931" t="s">
        <v>5526</v>
      </c>
      <c r="P931" t="s">
        <v>1341</v>
      </c>
      <c r="Q931" s="23">
        <v>46281.608518240741</v>
      </c>
      <c r="R931" s="32">
        <f>IF(OR(tbl_de_massas[[#This Row],[dia_vencimento]]="", tbl_de_massas[[#This Row],[dia_vencimento]]="--"), "", WORKDAY(tbl_de_massas[[#This Row],[dia_vencimento]], 5))</f>
        <v>20</v>
      </c>
    </row>
    <row r="932" spans="1:18" x14ac:dyDescent="0.25">
      <c r="A932" t="s">
        <v>5527</v>
      </c>
      <c r="B932" t="s">
        <v>5528</v>
      </c>
      <c r="C932" s="32" t="s">
        <v>2675</v>
      </c>
      <c r="D932" t="s">
        <v>5529</v>
      </c>
      <c r="E932" s="54">
        <v>14337.18</v>
      </c>
      <c r="F932" s="54">
        <v>315.43</v>
      </c>
      <c r="G932" s="54">
        <v>12603.61</v>
      </c>
      <c r="H932" s="54">
        <v>0</v>
      </c>
      <c r="I932" t="s">
        <v>2881</v>
      </c>
      <c r="J932" s="31">
        <v>473.15</v>
      </c>
      <c r="K932" s="36" t="s">
        <v>1306</v>
      </c>
      <c r="L932" t="s">
        <v>2504</v>
      </c>
      <c r="M932" t="s">
        <v>5530</v>
      </c>
      <c r="N932" t="s">
        <v>1345</v>
      </c>
      <c r="O932" t="s">
        <v>67</v>
      </c>
      <c r="Q932" s="23">
        <v>46281.608520277776</v>
      </c>
      <c r="R932" s="32">
        <f>IF(OR(tbl_de_massas[[#This Row],[dia_vencimento]]="", tbl_de_massas[[#This Row],[dia_vencimento]]="--"), "", WORKDAY(tbl_de_massas[[#This Row],[dia_vencimento]], 5))</f>
        <v>23</v>
      </c>
    </row>
    <row r="933" spans="1:18" x14ac:dyDescent="0.25">
      <c r="A933" t="s">
        <v>5531</v>
      </c>
      <c r="B933" t="s">
        <v>5532</v>
      </c>
      <c r="C933" s="32" t="s">
        <v>5832</v>
      </c>
      <c r="D933" t="s">
        <v>5533</v>
      </c>
      <c r="E933" s="54">
        <v>14817.9</v>
      </c>
      <c r="F933" s="54">
        <v>0</v>
      </c>
      <c r="G933" s="54">
        <v>21096.6</v>
      </c>
      <c r="H933" s="54">
        <v>0</v>
      </c>
      <c r="I933" t="s">
        <v>2881</v>
      </c>
      <c r="J933" s="31">
        <v>449.47</v>
      </c>
      <c r="K933" s="36" t="s">
        <v>1306</v>
      </c>
      <c r="L933" t="s">
        <v>2504</v>
      </c>
      <c r="M933" t="s">
        <v>5534</v>
      </c>
      <c r="N933" t="s">
        <v>1341</v>
      </c>
      <c r="O933" t="s">
        <v>67</v>
      </c>
      <c r="Q933" s="23">
        <v>46281.608521898146</v>
      </c>
      <c r="R933" s="32">
        <f>IF(OR(tbl_de_massas[[#This Row],[dia_vencimento]]="", tbl_de_massas[[#This Row],[dia_vencimento]]="--"), "", WORKDAY(tbl_de_massas[[#This Row],[dia_vencimento]], 5))</f>
        <v>27</v>
      </c>
    </row>
    <row r="934" spans="1:18" x14ac:dyDescent="0.25">
      <c r="A934" t="s">
        <v>5535</v>
      </c>
      <c r="B934" t="s">
        <v>5536</v>
      </c>
      <c r="C934" s="32" t="s">
        <v>5834</v>
      </c>
      <c r="D934" t="s">
        <v>5537</v>
      </c>
      <c r="E934" s="54">
        <v>14696.24</v>
      </c>
      <c r="F934" s="54">
        <v>4905.26</v>
      </c>
      <c r="G934" s="54">
        <v>1430.21</v>
      </c>
      <c r="H934" s="54">
        <v>3870.86</v>
      </c>
      <c r="I934" t="s">
        <v>2877</v>
      </c>
      <c r="J934" s="31">
        <v>4905.26</v>
      </c>
      <c r="K934" s="36" t="s">
        <v>2675</v>
      </c>
      <c r="L934" t="s">
        <v>2502</v>
      </c>
      <c r="M934" t="s">
        <v>67</v>
      </c>
      <c r="O934" t="s">
        <v>5538</v>
      </c>
      <c r="P934" t="s">
        <v>1341</v>
      </c>
      <c r="Q934" s="23">
        <v>46281.60852347222</v>
      </c>
      <c r="R934" s="32">
        <f>IF(OR(tbl_de_massas[[#This Row],[dia_vencimento]]="", tbl_de_massas[[#This Row],[dia_vencimento]]="--"), "", WORKDAY(tbl_de_massas[[#This Row],[dia_vencimento]], 5))</f>
        <v>10</v>
      </c>
    </row>
    <row r="935" spans="1:18" x14ac:dyDescent="0.25">
      <c r="A935" t="s">
        <v>5539</v>
      </c>
      <c r="B935" t="s">
        <v>5540</v>
      </c>
      <c r="C935" s="32" t="s">
        <v>5837</v>
      </c>
      <c r="D935" t="s">
        <v>5541</v>
      </c>
      <c r="E935" s="54">
        <v>5088.1099999999997</v>
      </c>
      <c r="F935" s="54">
        <v>802.5</v>
      </c>
      <c r="G935" s="54">
        <v>15760.44</v>
      </c>
      <c r="H935" s="54">
        <v>0</v>
      </c>
      <c r="I935" t="s">
        <v>2881</v>
      </c>
      <c r="J935" s="31">
        <v>802.5</v>
      </c>
      <c r="K935" s="36" t="s">
        <v>1306</v>
      </c>
      <c r="L935" t="s">
        <v>2504</v>
      </c>
      <c r="M935" t="s">
        <v>67</v>
      </c>
      <c r="O935" t="s">
        <v>5542</v>
      </c>
      <c r="P935" t="s">
        <v>1345</v>
      </c>
      <c r="Q935" s="23">
        <v>46281.60852559028</v>
      </c>
      <c r="R935" s="32">
        <f>IF(OR(tbl_de_massas[[#This Row],[dia_vencimento]]="", tbl_de_massas[[#This Row],[dia_vencimento]]="--"), "", WORKDAY(tbl_de_massas[[#This Row],[dia_vencimento]], 5))</f>
        <v>9</v>
      </c>
    </row>
    <row r="936" spans="1:18" x14ac:dyDescent="0.25">
      <c r="A936" t="s">
        <v>5543</v>
      </c>
      <c r="B936" t="s">
        <v>5544</v>
      </c>
      <c r="C936" s="32" t="s">
        <v>5830</v>
      </c>
      <c r="D936" t="s">
        <v>5545</v>
      </c>
      <c r="E936" s="54">
        <v>666.54</v>
      </c>
      <c r="F936" s="54">
        <v>4770.7299999999996</v>
      </c>
      <c r="G936" s="54">
        <v>2688.17</v>
      </c>
      <c r="H936" s="54">
        <v>3870.86</v>
      </c>
      <c r="I936" t="s">
        <v>2877</v>
      </c>
      <c r="J936" s="31">
        <v>4770.7299999999996</v>
      </c>
      <c r="K936" s="36" t="s">
        <v>2675</v>
      </c>
      <c r="L936" t="s">
        <v>2502</v>
      </c>
      <c r="M936" t="s">
        <v>5546</v>
      </c>
      <c r="N936" t="s">
        <v>1345</v>
      </c>
      <c r="O936" t="s">
        <v>5547</v>
      </c>
      <c r="P936" t="s">
        <v>1345</v>
      </c>
      <c r="Q936" s="23">
        <v>46281.60852721065</v>
      </c>
      <c r="R936" s="32">
        <f>IF(OR(tbl_de_massas[[#This Row],[dia_vencimento]]="", tbl_de_massas[[#This Row],[dia_vencimento]]="--"), "", WORKDAY(tbl_de_massas[[#This Row],[dia_vencimento]], 5))</f>
        <v>13</v>
      </c>
    </row>
    <row r="937" spans="1:18" x14ac:dyDescent="0.25">
      <c r="A937" t="s">
        <v>5548</v>
      </c>
      <c r="B937" t="s">
        <v>5549</v>
      </c>
      <c r="C937" s="32" t="s">
        <v>2922</v>
      </c>
      <c r="D937" t="s">
        <v>5038</v>
      </c>
      <c r="E937" s="54">
        <v>6690.23</v>
      </c>
      <c r="F937" s="54">
        <v>538.33000000000004</v>
      </c>
      <c r="G937" s="54">
        <v>18318.34</v>
      </c>
      <c r="H937" s="54">
        <v>0</v>
      </c>
      <c r="I937" t="s">
        <v>2881</v>
      </c>
      <c r="J937" s="31">
        <v>538.33000000000004</v>
      </c>
      <c r="K937" s="36" t="s">
        <v>1306</v>
      </c>
      <c r="L937" t="s">
        <v>2504</v>
      </c>
      <c r="M937" t="s">
        <v>5550</v>
      </c>
      <c r="N937" t="s">
        <v>1341</v>
      </c>
      <c r="O937" t="s">
        <v>67</v>
      </c>
      <c r="Q937" s="23">
        <v>46281.608529247686</v>
      </c>
      <c r="R937" s="32">
        <f>IF(OR(tbl_de_massas[[#This Row],[dia_vencimento]]="", tbl_de_massas[[#This Row],[dia_vencimento]]="--"), "", WORKDAY(tbl_de_massas[[#This Row],[dia_vencimento]], 5))</f>
        <v>6</v>
      </c>
    </row>
    <row r="938" spans="1:18" x14ac:dyDescent="0.25">
      <c r="A938" t="s">
        <v>5551</v>
      </c>
      <c r="B938" t="s">
        <v>5552</v>
      </c>
      <c r="C938" s="32" t="s">
        <v>2924</v>
      </c>
      <c r="D938" t="s">
        <v>5553</v>
      </c>
      <c r="E938" s="54">
        <v>7351.96</v>
      </c>
      <c r="F938" s="54">
        <v>0</v>
      </c>
      <c r="G938" s="54">
        <v>16582.03</v>
      </c>
      <c r="H938" s="54">
        <v>0</v>
      </c>
      <c r="I938" t="s">
        <v>2881</v>
      </c>
      <c r="J938" s="31">
        <v>420.86</v>
      </c>
      <c r="K938" s="36" t="s">
        <v>1306</v>
      </c>
      <c r="L938" t="s">
        <v>2504</v>
      </c>
      <c r="M938" t="s">
        <v>5554</v>
      </c>
      <c r="N938" t="s">
        <v>1345</v>
      </c>
      <c r="O938" t="s">
        <v>67</v>
      </c>
      <c r="Q938" s="23">
        <v>46281.608531064812</v>
      </c>
      <c r="R938" s="32">
        <f>IF(OR(tbl_de_massas[[#This Row],[dia_vencimento]]="", tbl_de_massas[[#This Row],[dia_vencimento]]="--"), "", WORKDAY(tbl_de_massas[[#This Row],[dia_vencimento]], 5))</f>
        <v>26</v>
      </c>
    </row>
    <row r="939" spans="1:18" x14ac:dyDescent="0.25">
      <c r="A939" t="s">
        <v>5555</v>
      </c>
      <c r="B939" t="s">
        <v>5556</v>
      </c>
      <c r="C939" s="32" t="s">
        <v>5838</v>
      </c>
      <c r="D939" t="s">
        <v>5557</v>
      </c>
      <c r="E939" s="54">
        <v>6518.69</v>
      </c>
      <c r="F939" s="54">
        <v>906.6</v>
      </c>
      <c r="G939" s="54">
        <v>3636.07</v>
      </c>
      <c r="H939" s="54">
        <v>0</v>
      </c>
      <c r="I939" t="s">
        <v>2881</v>
      </c>
      <c r="J939" s="31">
        <v>906.6</v>
      </c>
      <c r="K939" s="36" t="s">
        <v>1306</v>
      </c>
      <c r="L939" t="s">
        <v>2504</v>
      </c>
      <c r="M939" t="s">
        <v>5558</v>
      </c>
      <c r="N939" t="s">
        <v>1341</v>
      </c>
      <c r="O939" t="s">
        <v>5559</v>
      </c>
      <c r="P939" t="s">
        <v>1341</v>
      </c>
      <c r="Q939" s="23">
        <v>46281.608532835649</v>
      </c>
      <c r="R939" s="32">
        <f>IF(OR(tbl_de_massas[[#This Row],[dia_vencimento]]="", tbl_de_massas[[#This Row],[dia_vencimento]]="--"), "", WORKDAY(tbl_de_massas[[#This Row],[dia_vencimento]], 5))</f>
        <v>11</v>
      </c>
    </row>
    <row r="940" spans="1:18" x14ac:dyDescent="0.25">
      <c r="A940" t="s">
        <v>5560</v>
      </c>
      <c r="B940" t="s">
        <v>5561</v>
      </c>
      <c r="C940" s="32" t="s">
        <v>5830</v>
      </c>
      <c r="D940" t="s">
        <v>5562</v>
      </c>
      <c r="E940" s="54">
        <v>7533.39</v>
      </c>
      <c r="F940" s="54">
        <v>4734.07</v>
      </c>
      <c r="G940" s="54">
        <v>13241.19</v>
      </c>
      <c r="H940" s="54">
        <v>3870.86</v>
      </c>
      <c r="I940" t="s">
        <v>2877</v>
      </c>
      <c r="J940" s="31">
        <v>4734.07</v>
      </c>
      <c r="K940" s="36" t="s">
        <v>2675</v>
      </c>
      <c r="L940" t="s">
        <v>2502</v>
      </c>
      <c r="M940" t="s">
        <v>5563</v>
      </c>
      <c r="N940" t="s">
        <v>1341</v>
      </c>
      <c r="O940" t="s">
        <v>67</v>
      </c>
      <c r="Q940" s="23">
        <v>46281.608534571758</v>
      </c>
      <c r="R940" s="32">
        <f>IF(OR(tbl_de_massas[[#This Row],[dia_vencimento]]="", tbl_de_massas[[#This Row],[dia_vencimento]]="--"), "", WORKDAY(tbl_de_massas[[#This Row],[dia_vencimento]], 5))</f>
        <v>13</v>
      </c>
    </row>
    <row r="941" spans="1:18" x14ac:dyDescent="0.25">
      <c r="A941" t="s">
        <v>5564</v>
      </c>
      <c r="B941" t="s">
        <v>5565</v>
      </c>
      <c r="C941" s="32" t="s">
        <v>2675</v>
      </c>
      <c r="D941" t="s">
        <v>5566</v>
      </c>
      <c r="E941" s="54">
        <v>12636.5</v>
      </c>
      <c r="F941" s="54">
        <v>5086.83</v>
      </c>
      <c r="G941" s="54">
        <v>-2280.64</v>
      </c>
      <c r="H941" s="54">
        <v>3870.86</v>
      </c>
      <c r="I941" t="s">
        <v>2877</v>
      </c>
      <c r="J941" s="31">
        <v>5086.83</v>
      </c>
      <c r="K941" s="36" t="s">
        <v>2675</v>
      </c>
      <c r="L941" t="s">
        <v>2502</v>
      </c>
      <c r="M941" t="s">
        <v>5567</v>
      </c>
      <c r="N941" t="s">
        <v>1341</v>
      </c>
      <c r="O941" t="s">
        <v>67</v>
      </c>
      <c r="Q941" s="23">
        <v>46281.608536539352</v>
      </c>
      <c r="R941" s="32">
        <f>IF(OR(tbl_de_massas[[#This Row],[dia_vencimento]]="", tbl_de_massas[[#This Row],[dia_vencimento]]="--"), "", WORKDAY(tbl_de_massas[[#This Row],[dia_vencimento]], 5))</f>
        <v>23</v>
      </c>
    </row>
    <row r="942" spans="1:18" x14ac:dyDescent="0.25">
      <c r="A942" t="s">
        <v>5568</v>
      </c>
      <c r="B942" t="s">
        <v>5569</v>
      </c>
      <c r="C942" s="32" t="s">
        <v>2918</v>
      </c>
      <c r="D942" t="s">
        <v>5570</v>
      </c>
      <c r="E942" s="54">
        <v>3677.6</v>
      </c>
      <c r="F942" s="54">
        <v>4993.57</v>
      </c>
      <c r="G942" s="54">
        <v>9459.2000000000007</v>
      </c>
      <c r="H942" s="54">
        <v>3870.86</v>
      </c>
      <c r="I942" t="s">
        <v>2877</v>
      </c>
      <c r="J942" s="31">
        <v>4993.57</v>
      </c>
      <c r="K942" s="36" t="s">
        <v>2675</v>
      </c>
      <c r="L942" t="s">
        <v>2502</v>
      </c>
      <c r="M942" t="s">
        <v>5571</v>
      </c>
      <c r="N942" t="s">
        <v>1341</v>
      </c>
      <c r="O942" t="s">
        <v>5572</v>
      </c>
      <c r="P942" t="s">
        <v>1341</v>
      </c>
      <c r="Q942" s="23">
        <v>46281.608538576387</v>
      </c>
      <c r="R942" s="32">
        <f>IF(OR(tbl_de_massas[[#This Row],[dia_vencimento]]="", tbl_de_massas[[#This Row],[dia_vencimento]]="--"), "", WORKDAY(tbl_de_massas[[#This Row],[dia_vencimento]], 5))</f>
        <v>34</v>
      </c>
    </row>
    <row r="943" spans="1:18" x14ac:dyDescent="0.25">
      <c r="A943" t="s">
        <v>5573</v>
      </c>
      <c r="B943" t="s">
        <v>5574</v>
      </c>
      <c r="C943" s="32" t="s">
        <v>2360</v>
      </c>
      <c r="D943" t="s">
        <v>5575</v>
      </c>
      <c r="E943" s="54">
        <v>15275.49</v>
      </c>
      <c r="F943" s="54">
        <v>852.69</v>
      </c>
      <c r="G943" s="54">
        <v>4936.2299999999996</v>
      </c>
      <c r="H943" s="54">
        <v>0</v>
      </c>
      <c r="I943" t="s">
        <v>2881</v>
      </c>
      <c r="J943" s="31">
        <v>852.69</v>
      </c>
      <c r="K943" s="36" t="s">
        <v>1306</v>
      </c>
      <c r="L943" t="s">
        <v>2504</v>
      </c>
      <c r="M943" t="s">
        <v>5576</v>
      </c>
      <c r="N943" t="s">
        <v>1341</v>
      </c>
      <c r="O943" t="s">
        <v>5577</v>
      </c>
      <c r="P943" t="s">
        <v>1341</v>
      </c>
      <c r="Q943" s="23">
        <v>46281.60854050926</v>
      </c>
      <c r="R943" s="32">
        <f>IF(OR(tbl_de_massas[[#This Row],[dia_vencimento]]="", tbl_de_massas[[#This Row],[dia_vencimento]]="--"), "", WORKDAY(tbl_de_massas[[#This Row],[dia_vencimento]], 5))</f>
        <v>19</v>
      </c>
    </row>
    <row r="944" spans="1:18" x14ac:dyDescent="0.25">
      <c r="A944" t="s">
        <v>5578</v>
      </c>
      <c r="B944" t="s">
        <v>5579</v>
      </c>
      <c r="C944" s="32" t="s">
        <v>2925</v>
      </c>
      <c r="D944" t="s">
        <v>5580</v>
      </c>
      <c r="E944" s="54">
        <v>594.73</v>
      </c>
      <c r="F944" s="54">
        <v>4623.07</v>
      </c>
      <c r="G944" s="54">
        <v>-1938.67</v>
      </c>
      <c r="H944" s="54">
        <v>3870.86</v>
      </c>
      <c r="I944" t="s">
        <v>2877</v>
      </c>
      <c r="J944" s="31">
        <v>4623.07</v>
      </c>
      <c r="K944" s="36" t="s">
        <v>2675</v>
      </c>
      <c r="L944" t="s">
        <v>2502</v>
      </c>
      <c r="M944" t="s">
        <v>5581</v>
      </c>
      <c r="N944" t="s">
        <v>1341</v>
      </c>
      <c r="O944" t="s">
        <v>67</v>
      </c>
      <c r="Q944" s="23">
        <v>46281.608542442133</v>
      </c>
      <c r="R944" s="32">
        <f>IF(OR(tbl_de_massas[[#This Row],[dia_vencimento]]="", tbl_de_massas[[#This Row],[dia_vencimento]]="--"), "", WORKDAY(tbl_de_massas[[#This Row],[dia_vencimento]], 5))</f>
        <v>24</v>
      </c>
    </row>
    <row r="945" spans="1:18" x14ac:dyDescent="0.25">
      <c r="A945" t="s">
        <v>5582</v>
      </c>
      <c r="B945" t="s">
        <v>5583</v>
      </c>
      <c r="C945" s="32" t="s">
        <v>2921</v>
      </c>
      <c r="D945" t="s">
        <v>5584</v>
      </c>
      <c r="E945" s="54">
        <v>11314.17</v>
      </c>
      <c r="F945" s="54">
        <v>4810.4799999999996</v>
      </c>
      <c r="G945" s="54">
        <v>8719.02</v>
      </c>
      <c r="H945" s="54">
        <v>3870.86</v>
      </c>
      <c r="I945" t="s">
        <v>2877</v>
      </c>
      <c r="J945" s="31">
        <v>4810.4799999999996</v>
      </c>
      <c r="K945" s="36" t="s">
        <v>2675</v>
      </c>
      <c r="L945" t="s">
        <v>2502</v>
      </c>
      <c r="M945" t="s">
        <v>5585</v>
      </c>
      <c r="N945" t="s">
        <v>1341</v>
      </c>
      <c r="O945" t="s">
        <v>67</v>
      </c>
      <c r="Q945" s="23">
        <v>46281.608544537034</v>
      </c>
      <c r="R945" s="32">
        <f>IF(OR(tbl_de_massas[[#This Row],[dia_vencimento]]="", tbl_de_massas[[#This Row],[dia_vencimento]]="--"), "", WORKDAY(tbl_de_massas[[#This Row],[dia_vencimento]], 5))</f>
        <v>13</v>
      </c>
    </row>
    <row r="946" spans="1:18" x14ac:dyDescent="0.25">
      <c r="A946" t="s">
        <v>5586</v>
      </c>
      <c r="B946" t="s">
        <v>5587</v>
      </c>
      <c r="C946" s="32" t="s">
        <v>5834</v>
      </c>
      <c r="D946" t="s">
        <v>5588</v>
      </c>
      <c r="E946" s="54">
        <v>2694.7</v>
      </c>
      <c r="F946" s="54">
        <v>972.35</v>
      </c>
      <c r="G946" s="54">
        <v>7005.96</v>
      </c>
      <c r="H946" s="54">
        <v>0</v>
      </c>
      <c r="I946" t="s">
        <v>2881</v>
      </c>
      <c r="J946" s="31">
        <v>972.35</v>
      </c>
      <c r="K946" s="36" t="s">
        <v>1306</v>
      </c>
      <c r="L946" t="s">
        <v>2504</v>
      </c>
      <c r="M946" t="s">
        <v>5589</v>
      </c>
      <c r="N946" t="s">
        <v>1341</v>
      </c>
      <c r="O946" t="s">
        <v>67</v>
      </c>
      <c r="Q946" s="23">
        <v>46281.6085465625</v>
      </c>
      <c r="R946" s="32">
        <f>IF(OR(tbl_de_massas[[#This Row],[dia_vencimento]]="", tbl_de_massas[[#This Row],[dia_vencimento]]="--"), "", WORKDAY(tbl_de_massas[[#This Row],[dia_vencimento]], 5))</f>
        <v>10</v>
      </c>
    </row>
    <row r="947" spans="1:18" x14ac:dyDescent="0.25">
      <c r="A947" t="s">
        <v>5590</v>
      </c>
      <c r="B947" t="s">
        <v>5591</v>
      </c>
      <c r="C947" s="32" t="s">
        <v>5830</v>
      </c>
      <c r="D947" t="s">
        <v>5592</v>
      </c>
      <c r="E947" s="54">
        <v>13361.88</v>
      </c>
      <c r="F947" s="54">
        <v>4814.58</v>
      </c>
      <c r="G947" s="54">
        <v>327.02</v>
      </c>
      <c r="H947" s="54">
        <v>3870.86</v>
      </c>
      <c r="I947" t="s">
        <v>2877</v>
      </c>
      <c r="J947" s="31">
        <v>4814.58</v>
      </c>
      <c r="K947" s="36" t="s">
        <v>2675</v>
      </c>
      <c r="L947" t="s">
        <v>2502</v>
      </c>
      <c r="M947" t="s">
        <v>5593</v>
      </c>
      <c r="N947" t="s">
        <v>1341</v>
      </c>
      <c r="O947" t="s">
        <v>67</v>
      </c>
      <c r="Q947" s="23">
        <v>46281.60854833333</v>
      </c>
      <c r="R947" s="32">
        <f>IF(OR(tbl_de_massas[[#This Row],[dia_vencimento]]="", tbl_de_massas[[#This Row],[dia_vencimento]]="--"), "", WORKDAY(tbl_de_massas[[#This Row],[dia_vencimento]], 5))</f>
        <v>13</v>
      </c>
    </row>
    <row r="948" spans="1:18" x14ac:dyDescent="0.25">
      <c r="A948" t="s">
        <v>5594</v>
      </c>
      <c r="B948" t="s">
        <v>5595</v>
      </c>
      <c r="C948" s="32" t="s">
        <v>608</v>
      </c>
      <c r="D948" t="s">
        <v>5596</v>
      </c>
      <c r="E948" s="54">
        <v>7243.75</v>
      </c>
      <c r="F948" s="54">
        <v>0</v>
      </c>
      <c r="G948" s="54">
        <v>4546.38</v>
      </c>
      <c r="H948" s="54">
        <v>0</v>
      </c>
      <c r="I948" t="s">
        <v>2881</v>
      </c>
      <c r="J948" s="31">
        <v>526.32000000000005</v>
      </c>
      <c r="K948" s="36" t="s">
        <v>1306</v>
      </c>
      <c r="L948" t="s">
        <v>2504</v>
      </c>
      <c r="M948" t="s">
        <v>5597</v>
      </c>
      <c r="N948" t="s">
        <v>1345</v>
      </c>
      <c r="O948" t="s">
        <v>5598</v>
      </c>
      <c r="P948" t="s">
        <v>1345</v>
      </c>
      <c r="Q948" s="23">
        <v>46281.608550289355</v>
      </c>
      <c r="R948" s="32">
        <f>IF(OR(tbl_de_massas[[#This Row],[dia_vencimento]]="", tbl_de_massas[[#This Row],[dia_vencimento]]="--"), "", WORKDAY(tbl_de_massas[[#This Row],[dia_vencimento]], 5))</f>
        <v>27</v>
      </c>
    </row>
    <row r="949" spans="1:18" x14ac:dyDescent="0.25">
      <c r="A949" t="s">
        <v>5599</v>
      </c>
      <c r="B949" t="s">
        <v>5600</v>
      </c>
      <c r="C949" s="32" t="s">
        <v>608</v>
      </c>
      <c r="D949" t="s">
        <v>5601</v>
      </c>
      <c r="E949" s="54">
        <v>544.5</v>
      </c>
      <c r="F949" s="54">
        <v>0</v>
      </c>
      <c r="G949" s="54">
        <v>3915.5</v>
      </c>
      <c r="H949" s="54">
        <v>0</v>
      </c>
      <c r="I949" t="s">
        <v>2881</v>
      </c>
      <c r="J949" s="31">
        <v>496.33</v>
      </c>
      <c r="K949" s="36" t="s">
        <v>1306</v>
      </c>
      <c r="L949" t="s">
        <v>2504</v>
      </c>
      <c r="M949" t="s">
        <v>5602</v>
      </c>
      <c r="N949" t="s">
        <v>1341</v>
      </c>
      <c r="O949" t="s">
        <v>5603</v>
      </c>
      <c r="P949" t="s">
        <v>1341</v>
      </c>
      <c r="Q949" s="23">
        <v>46281.608551944446</v>
      </c>
      <c r="R949" s="32">
        <f>IF(OR(tbl_de_massas[[#This Row],[dia_vencimento]]="", tbl_de_massas[[#This Row],[dia_vencimento]]="--"), "", WORKDAY(tbl_de_massas[[#This Row],[dia_vencimento]], 5))</f>
        <v>27</v>
      </c>
    </row>
    <row r="950" spans="1:18" x14ac:dyDescent="0.25">
      <c r="A950" t="s">
        <v>5604</v>
      </c>
      <c r="B950" t="s">
        <v>5605</v>
      </c>
      <c r="C950" s="32" t="s">
        <v>607</v>
      </c>
      <c r="D950" t="s">
        <v>5606</v>
      </c>
      <c r="E950" s="54">
        <v>2855.28</v>
      </c>
      <c r="F950" s="54">
        <v>4787.66</v>
      </c>
      <c r="G950" s="54">
        <v>15016.37</v>
      </c>
      <c r="H950" s="54">
        <v>3870.86</v>
      </c>
      <c r="I950" t="s">
        <v>2877</v>
      </c>
      <c r="J950" s="31">
        <v>4787.66</v>
      </c>
      <c r="K950" s="36" t="s">
        <v>2675</v>
      </c>
      <c r="L950" t="s">
        <v>2502</v>
      </c>
      <c r="M950" t="s">
        <v>5607</v>
      </c>
      <c r="N950" t="s">
        <v>1345</v>
      </c>
      <c r="O950" t="s">
        <v>67</v>
      </c>
      <c r="Q950" s="23">
        <v>46281.608553738428</v>
      </c>
      <c r="R950" s="32">
        <f>IF(OR(tbl_de_massas[[#This Row],[dia_vencimento]]="", tbl_de_massas[[#This Row],[dia_vencimento]]="--"), "", WORKDAY(tbl_de_massas[[#This Row],[dia_vencimento]], 5))</f>
        <v>20</v>
      </c>
    </row>
    <row r="951" spans="1:18" x14ac:dyDescent="0.25">
      <c r="A951" t="s">
        <v>5608</v>
      </c>
      <c r="B951" t="s">
        <v>5609</v>
      </c>
      <c r="C951" s="32" t="s">
        <v>5830</v>
      </c>
      <c r="D951" t="s">
        <v>5610</v>
      </c>
      <c r="E951" s="54">
        <v>2907.37</v>
      </c>
      <c r="F951" s="54">
        <v>4799.7700000000004</v>
      </c>
      <c r="G951" s="54">
        <v>13860.83</v>
      </c>
      <c r="H951" s="54">
        <v>3870.86</v>
      </c>
      <c r="I951" t="s">
        <v>2877</v>
      </c>
      <c r="J951" s="31">
        <v>4799.7700000000004</v>
      </c>
      <c r="K951" s="36" t="s">
        <v>2675</v>
      </c>
      <c r="L951" t="s">
        <v>2502</v>
      </c>
      <c r="M951" t="s">
        <v>5611</v>
      </c>
      <c r="N951" t="s">
        <v>1341</v>
      </c>
      <c r="O951" t="s">
        <v>5612</v>
      </c>
      <c r="P951" t="s">
        <v>1341</v>
      </c>
      <c r="Q951" s="23">
        <v>46281.608555949075</v>
      </c>
      <c r="R951" s="32">
        <f>IF(OR(tbl_de_massas[[#This Row],[dia_vencimento]]="", tbl_de_massas[[#This Row],[dia_vencimento]]="--"), "", WORKDAY(tbl_de_massas[[#This Row],[dia_vencimento]], 5))</f>
        <v>13</v>
      </c>
    </row>
    <row r="952" spans="1:18" x14ac:dyDescent="0.25">
      <c r="A952" t="s">
        <v>5613</v>
      </c>
      <c r="B952" t="s">
        <v>5614</v>
      </c>
      <c r="C952" s="32" t="s">
        <v>608</v>
      </c>
      <c r="D952" t="s">
        <v>5615</v>
      </c>
      <c r="E952" s="54">
        <v>2514.62</v>
      </c>
      <c r="F952" s="54">
        <v>517.66</v>
      </c>
      <c r="G952" s="54">
        <v>7357.94</v>
      </c>
      <c r="H952" s="54">
        <v>0</v>
      </c>
      <c r="I952" t="s">
        <v>2881</v>
      </c>
      <c r="J952" s="31">
        <v>931.79</v>
      </c>
      <c r="K952" s="36" t="s">
        <v>1306</v>
      </c>
      <c r="L952" t="s">
        <v>2504</v>
      </c>
      <c r="M952" t="s">
        <v>5616</v>
      </c>
      <c r="N952" t="s">
        <v>1341</v>
      </c>
      <c r="O952" t="s">
        <v>5617</v>
      </c>
      <c r="P952" t="s">
        <v>1341</v>
      </c>
      <c r="Q952" s="23">
        <v>46281.608618171296</v>
      </c>
      <c r="R952" s="32">
        <f>IF(OR(tbl_de_massas[[#This Row],[dia_vencimento]]="", tbl_de_massas[[#This Row],[dia_vencimento]]="--"), "", WORKDAY(tbl_de_massas[[#This Row],[dia_vencimento]], 5))</f>
        <v>27</v>
      </c>
    </row>
    <row r="953" spans="1:18" x14ac:dyDescent="0.25">
      <c r="A953" t="s">
        <v>5618</v>
      </c>
      <c r="B953" t="s">
        <v>5619</v>
      </c>
      <c r="C953" s="32" t="s">
        <v>5835</v>
      </c>
      <c r="D953" t="s">
        <v>5620</v>
      </c>
      <c r="E953" s="54">
        <v>15418.05</v>
      </c>
      <c r="F953" s="54">
        <v>4867.99</v>
      </c>
      <c r="G953" s="54">
        <v>10024.81</v>
      </c>
      <c r="H953" s="54">
        <v>3870.86</v>
      </c>
      <c r="I953" t="s">
        <v>2877</v>
      </c>
      <c r="J953" s="31">
        <v>4867.99</v>
      </c>
      <c r="K953" s="36" t="s">
        <v>2675</v>
      </c>
      <c r="L953" t="s">
        <v>2502</v>
      </c>
      <c r="M953" t="s">
        <v>67</v>
      </c>
      <c r="O953" t="s">
        <v>5621</v>
      </c>
      <c r="P953" t="s">
        <v>1341</v>
      </c>
      <c r="Q953" s="23">
        <v>46281.608620324077</v>
      </c>
      <c r="R953" s="32">
        <f>IF(OR(tbl_de_massas[[#This Row],[dia_vencimento]]="", tbl_de_massas[[#This Row],[dia_vencimento]]="--"), "", WORKDAY(tbl_de_massas[[#This Row],[dia_vencimento]], 5))</f>
        <v>25</v>
      </c>
    </row>
    <row r="954" spans="1:18" x14ac:dyDescent="0.25">
      <c r="A954" t="s">
        <v>5622</v>
      </c>
      <c r="B954" t="s">
        <v>5623</v>
      </c>
      <c r="C954" s="32" t="s">
        <v>2362</v>
      </c>
      <c r="D954" t="s">
        <v>5624</v>
      </c>
      <c r="E954" s="54">
        <v>7658.88</v>
      </c>
      <c r="F954" s="54">
        <v>5013.18</v>
      </c>
      <c r="G954" s="54">
        <v>12135.91</v>
      </c>
      <c r="H954" s="54">
        <v>3870.86</v>
      </c>
      <c r="I954" t="s">
        <v>2877</v>
      </c>
      <c r="J954" s="31">
        <v>5013.18</v>
      </c>
      <c r="K954" s="36" t="s">
        <v>2675</v>
      </c>
      <c r="L954" t="s">
        <v>2502</v>
      </c>
      <c r="M954" t="s">
        <v>5625</v>
      </c>
      <c r="N954" t="s">
        <v>1341</v>
      </c>
      <c r="O954" t="s">
        <v>67</v>
      </c>
      <c r="Q954" s="23">
        <v>46281.608622673608</v>
      </c>
      <c r="R954" s="32">
        <f>IF(OR(tbl_de_massas[[#This Row],[dia_vencimento]]="", tbl_de_massas[[#This Row],[dia_vencimento]]="--"), "", WORKDAY(tbl_de_massas[[#This Row],[dia_vencimento]], 5))</f>
        <v>20</v>
      </c>
    </row>
    <row r="955" spans="1:18" x14ac:dyDescent="0.25">
      <c r="A955" t="s">
        <v>5626</v>
      </c>
      <c r="B955" t="s">
        <v>5627</v>
      </c>
      <c r="C955" s="32" t="s">
        <v>5832</v>
      </c>
      <c r="D955" t="s">
        <v>5628</v>
      </c>
      <c r="E955" s="54">
        <v>2621.16</v>
      </c>
      <c r="F955" s="54">
        <v>0</v>
      </c>
      <c r="G955" s="54">
        <v>12307.93</v>
      </c>
      <c r="H955" s="54">
        <v>0</v>
      </c>
      <c r="I955" t="s">
        <v>2881</v>
      </c>
      <c r="J955" s="31">
        <v>968.16</v>
      </c>
      <c r="K955" s="36" t="s">
        <v>1306</v>
      </c>
      <c r="L955" t="s">
        <v>2504</v>
      </c>
      <c r="M955" t="s">
        <v>67</v>
      </c>
      <c r="O955" t="s">
        <v>5629</v>
      </c>
      <c r="P955" t="s">
        <v>1341</v>
      </c>
      <c r="Q955" s="23">
        <v>46281.60862525463</v>
      </c>
      <c r="R955" s="32">
        <f>IF(OR(tbl_de_massas[[#This Row],[dia_vencimento]]="", tbl_de_massas[[#This Row],[dia_vencimento]]="--"), "", WORKDAY(tbl_de_massas[[#This Row],[dia_vencimento]], 5))</f>
        <v>27</v>
      </c>
    </row>
    <row r="956" spans="1:18" x14ac:dyDescent="0.25">
      <c r="A956" t="s">
        <v>5630</v>
      </c>
      <c r="B956" t="s">
        <v>5631</v>
      </c>
      <c r="C956" s="32" t="s">
        <v>607</v>
      </c>
      <c r="D956" t="s">
        <v>5632</v>
      </c>
      <c r="E956" s="54">
        <v>8989.61</v>
      </c>
      <c r="F956" s="54">
        <v>435.91</v>
      </c>
      <c r="G956" s="54">
        <v>21191.1</v>
      </c>
      <c r="H956" s="54">
        <v>0</v>
      </c>
      <c r="I956" t="s">
        <v>2881</v>
      </c>
      <c r="J956" s="31">
        <v>784.64</v>
      </c>
      <c r="K956" s="36" t="s">
        <v>1306</v>
      </c>
      <c r="L956" t="s">
        <v>2504</v>
      </c>
      <c r="M956" t="s">
        <v>67</v>
      </c>
      <c r="O956" t="s">
        <v>5633</v>
      </c>
      <c r="P956" t="s">
        <v>1341</v>
      </c>
      <c r="Q956" s="23">
        <v>46281.608627164351</v>
      </c>
      <c r="R956" s="32">
        <f>IF(OR(tbl_de_massas[[#This Row],[dia_vencimento]]="", tbl_de_massas[[#This Row],[dia_vencimento]]="--"), "", WORKDAY(tbl_de_massas[[#This Row],[dia_vencimento]], 5))</f>
        <v>20</v>
      </c>
    </row>
    <row r="957" spans="1:18" x14ac:dyDescent="0.25">
      <c r="A957" t="s">
        <v>5634</v>
      </c>
      <c r="B957" t="s">
        <v>5635</v>
      </c>
      <c r="C957" s="32" t="s">
        <v>2925</v>
      </c>
      <c r="D957" t="s">
        <v>5636</v>
      </c>
      <c r="E957" s="54">
        <v>12752.82</v>
      </c>
      <c r="F957" s="54">
        <v>172.53</v>
      </c>
      <c r="G957" s="54">
        <v>20948.439999999999</v>
      </c>
      <c r="H957" s="54">
        <v>0</v>
      </c>
      <c r="I957" t="s">
        <v>2881</v>
      </c>
      <c r="J957" s="31">
        <v>776.4</v>
      </c>
      <c r="K957" s="36" t="s">
        <v>1306</v>
      </c>
      <c r="L957" t="s">
        <v>2504</v>
      </c>
      <c r="M957" t="s">
        <v>67</v>
      </c>
      <c r="O957" t="s">
        <v>5637</v>
      </c>
      <c r="P957" t="s">
        <v>1341</v>
      </c>
      <c r="Q957" s="23">
        <v>46281.608628993054</v>
      </c>
      <c r="R957" s="32">
        <f>IF(OR(tbl_de_massas[[#This Row],[dia_vencimento]]="", tbl_de_massas[[#This Row],[dia_vencimento]]="--"), "", WORKDAY(tbl_de_massas[[#This Row],[dia_vencimento]], 5))</f>
        <v>24</v>
      </c>
    </row>
    <row r="958" spans="1:18" x14ac:dyDescent="0.25">
      <c r="A958" t="s">
        <v>5638</v>
      </c>
      <c r="B958" t="s">
        <v>5639</v>
      </c>
      <c r="C958" s="32" t="s">
        <v>5830</v>
      </c>
      <c r="D958" t="s">
        <v>5640</v>
      </c>
      <c r="E958" s="54">
        <v>4154.4399999999996</v>
      </c>
      <c r="F958" s="54">
        <v>4889.49</v>
      </c>
      <c r="G958" s="54">
        <v>15545.98</v>
      </c>
      <c r="H958" s="54">
        <v>3870.86</v>
      </c>
      <c r="I958" t="s">
        <v>2877</v>
      </c>
      <c r="J958" s="31">
        <v>4889.49</v>
      </c>
      <c r="K958" s="36" t="s">
        <v>2675</v>
      </c>
      <c r="L958" t="s">
        <v>2502</v>
      </c>
      <c r="M958" t="s">
        <v>5641</v>
      </c>
      <c r="N958" t="s">
        <v>1345</v>
      </c>
      <c r="O958" t="s">
        <v>5642</v>
      </c>
      <c r="P958" t="s">
        <v>1345</v>
      </c>
      <c r="Q958" s="23">
        <v>46281.608631053241</v>
      </c>
      <c r="R958" s="32">
        <f>IF(OR(tbl_de_massas[[#This Row],[dia_vencimento]]="", tbl_de_massas[[#This Row],[dia_vencimento]]="--"), "", WORKDAY(tbl_de_massas[[#This Row],[dia_vencimento]], 5))</f>
        <v>13</v>
      </c>
    </row>
    <row r="959" spans="1:18" x14ac:dyDescent="0.25">
      <c r="A959" t="s">
        <v>5643</v>
      </c>
      <c r="B959" t="s">
        <v>5644</v>
      </c>
      <c r="C959" s="32" t="s">
        <v>5832</v>
      </c>
      <c r="D959" t="s">
        <v>5645</v>
      </c>
      <c r="E959" s="54">
        <v>12469.72</v>
      </c>
      <c r="F959" s="54">
        <v>0</v>
      </c>
      <c r="G959" s="54">
        <v>4944.09</v>
      </c>
      <c r="H959" s="54">
        <v>0</v>
      </c>
      <c r="I959" t="s">
        <v>2881</v>
      </c>
      <c r="J959" s="31">
        <v>488.83</v>
      </c>
      <c r="K959" s="36" t="s">
        <v>1306</v>
      </c>
      <c r="L959" t="s">
        <v>2504</v>
      </c>
      <c r="M959" t="s">
        <v>5646</v>
      </c>
      <c r="N959" t="s">
        <v>1341</v>
      </c>
      <c r="O959" t="s">
        <v>67</v>
      </c>
      <c r="Q959" s="23">
        <v>46281.608633379627</v>
      </c>
      <c r="R959" s="32">
        <f>IF(OR(tbl_de_massas[[#This Row],[dia_vencimento]]="", tbl_de_massas[[#This Row],[dia_vencimento]]="--"), "", WORKDAY(tbl_de_massas[[#This Row],[dia_vencimento]], 5))</f>
        <v>27</v>
      </c>
    </row>
    <row r="960" spans="1:18" x14ac:dyDescent="0.25">
      <c r="A960" t="s">
        <v>5647</v>
      </c>
      <c r="B960" t="s">
        <v>5648</v>
      </c>
      <c r="C960" s="32" t="s">
        <v>5832</v>
      </c>
      <c r="D960" t="s">
        <v>5649</v>
      </c>
      <c r="E960" s="54">
        <v>12969.6</v>
      </c>
      <c r="F960" s="54">
        <v>4759.7700000000004</v>
      </c>
      <c r="G960" s="54">
        <v>6744.72</v>
      </c>
      <c r="H960" s="54">
        <v>3870.86</v>
      </c>
      <c r="I960" t="s">
        <v>2877</v>
      </c>
      <c r="J960" s="31">
        <v>4759.7700000000004</v>
      </c>
      <c r="K960" s="36" t="s">
        <v>2675</v>
      </c>
      <c r="L960" t="s">
        <v>2502</v>
      </c>
      <c r="M960" t="s">
        <v>67</v>
      </c>
      <c r="O960" t="s">
        <v>5650</v>
      </c>
      <c r="P960" t="s">
        <v>1341</v>
      </c>
      <c r="Q960" s="23">
        <v>46281.608635555553</v>
      </c>
      <c r="R960" s="32">
        <f>IF(OR(tbl_de_massas[[#This Row],[dia_vencimento]]="", tbl_de_massas[[#This Row],[dia_vencimento]]="--"), "", WORKDAY(tbl_de_massas[[#This Row],[dia_vencimento]], 5))</f>
        <v>27</v>
      </c>
    </row>
    <row r="961" spans="1:18" x14ac:dyDescent="0.25">
      <c r="A961" t="s">
        <v>5651</v>
      </c>
      <c r="B961" t="s">
        <v>5652</v>
      </c>
      <c r="C961" s="32" t="s">
        <v>2917</v>
      </c>
      <c r="D961" t="s">
        <v>5653</v>
      </c>
      <c r="E961" s="54">
        <v>8135.35</v>
      </c>
      <c r="F961" s="54">
        <v>0</v>
      </c>
      <c r="G961" s="54">
        <v>18960.78</v>
      </c>
      <c r="H961" s="54">
        <v>0</v>
      </c>
      <c r="I961" t="s">
        <v>2881</v>
      </c>
      <c r="J961" s="31">
        <v>988.27</v>
      </c>
      <c r="K961" s="36" t="s">
        <v>1306</v>
      </c>
      <c r="L961" t="s">
        <v>2504</v>
      </c>
      <c r="M961" t="s">
        <v>67</v>
      </c>
      <c r="O961" t="s">
        <v>5654</v>
      </c>
      <c r="P961" t="s">
        <v>1345</v>
      </c>
      <c r="Q961" s="23">
        <v>46281.608638055557</v>
      </c>
      <c r="R961" s="32">
        <f>IF(OR(tbl_de_massas[[#This Row],[dia_vencimento]]="", tbl_de_massas[[#This Row],[dia_vencimento]]="--"), "", WORKDAY(tbl_de_massas[[#This Row],[dia_vencimento]], 5))</f>
        <v>27</v>
      </c>
    </row>
    <row r="962" spans="1:18" x14ac:dyDescent="0.25">
      <c r="A962" t="s">
        <v>5655</v>
      </c>
      <c r="B962" t="s">
        <v>5656</v>
      </c>
      <c r="C962" s="32" t="s">
        <v>5837</v>
      </c>
      <c r="D962" t="s">
        <v>5657</v>
      </c>
      <c r="E962" s="54">
        <v>12428.91</v>
      </c>
      <c r="F962" s="54">
        <v>994.44</v>
      </c>
      <c r="G962" s="54">
        <v>12628.7</v>
      </c>
      <c r="H962" s="54">
        <v>0</v>
      </c>
      <c r="I962" t="s">
        <v>2881</v>
      </c>
      <c r="J962" s="31">
        <v>994.44</v>
      </c>
      <c r="K962" s="36" t="s">
        <v>1306</v>
      </c>
      <c r="L962" t="s">
        <v>2504</v>
      </c>
      <c r="M962" t="s">
        <v>5658</v>
      </c>
      <c r="N962" t="s">
        <v>1341</v>
      </c>
      <c r="O962" t="s">
        <v>5659</v>
      </c>
      <c r="P962" t="s">
        <v>1341</v>
      </c>
      <c r="Q962" s="23">
        <v>46281.608639965278</v>
      </c>
      <c r="R962" s="32">
        <f>IF(OR(tbl_de_massas[[#This Row],[dia_vencimento]]="", tbl_de_massas[[#This Row],[dia_vencimento]]="--"), "", WORKDAY(tbl_de_massas[[#This Row],[dia_vencimento]], 5))</f>
        <v>9</v>
      </c>
    </row>
    <row r="963" spans="1:18" x14ac:dyDescent="0.25">
      <c r="A963" t="s">
        <v>5660</v>
      </c>
      <c r="B963" t="s">
        <v>5661</v>
      </c>
      <c r="C963" s="32" t="s">
        <v>2362</v>
      </c>
      <c r="D963" t="s">
        <v>5662</v>
      </c>
      <c r="E963" s="54">
        <v>12107.42</v>
      </c>
      <c r="F963" s="54">
        <v>4862.21</v>
      </c>
      <c r="G963" s="54">
        <v>12901.03</v>
      </c>
      <c r="H963" s="54">
        <v>3870.86</v>
      </c>
      <c r="I963" t="s">
        <v>2877</v>
      </c>
      <c r="J963" s="31">
        <v>4862.21</v>
      </c>
      <c r="K963" s="36" t="s">
        <v>2675</v>
      </c>
      <c r="L963" t="s">
        <v>2502</v>
      </c>
      <c r="M963" t="s">
        <v>5663</v>
      </c>
      <c r="N963" t="s">
        <v>1341</v>
      </c>
      <c r="O963" t="s">
        <v>67</v>
      </c>
      <c r="Q963" s="23">
        <v>46281.608641747684</v>
      </c>
      <c r="R963" s="32">
        <f>IF(OR(tbl_de_massas[[#This Row],[dia_vencimento]]="", tbl_de_massas[[#This Row],[dia_vencimento]]="--"), "", WORKDAY(tbl_de_massas[[#This Row],[dia_vencimento]], 5))</f>
        <v>20</v>
      </c>
    </row>
    <row r="964" spans="1:18" x14ac:dyDescent="0.25">
      <c r="A964" t="s">
        <v>5664</v>
      </c>
      <c r="B964" t="s">
        <v>5665</v>
      </c>
      <c r="C964" s="32" t="s">
        <v>5829</v>
      </c>
      <c r="D964" t="s">
        <v>5666</v>
      </c>
      <c r="E964" s="54">
        <v>13317</v>
      </c>
      <c r="F964" s="54">
        <v>0</v>
      </c>
      <c r="G964" s="54">
        <v>14370.97</v>
      </c>
      <c r="H964" s="54">
        <v>0</v>
      </c>
      <c r="I964" t="s">
        <v>2881</v>
      </c>
      <c r="J964" s="31">
        <v>746.74</v>
      </c>
      <c r="K964" s="36" t="s">
        <v>1306</v>
      </c>
      <c r="L964" t="s">
        <v>2504</v>
      </c>
      <c r="M964" t="s">
        <v>5667</v>
      </c>
      <c r="N964" t="s">
        <v>1341</v>
      </c>
      <c r="O964" t="s">
        <v>67</v>
      </c>
      <c r="Q964" s="23">
        <v>46281.608643715277</v>
      </c>
      <c r="R964" s="32">
        <f>IF(OR(tbl_de_massas[[#This Row],[dia_vencimento]]="", tbl_de_massas[[#This Row],[dia_vencimento]]="--"), "", WORKDAY(tbl_de_massas[[#This Row],[dia_vencimento]], 5))</f>
        <v>30</v>
      </c>
    </row>
    <row r="965" spans="1:18" x14ac:dyDescent="0.25">
      <c r="A965" t="s">
        <v>5668</v>
      </c>
      <c r="B965" t="s">
        <v>5669</v>
      </c>
      <c r="C965" s="32" t="s">
        <v>5830</v>
      </c>
      <c r="D965" t="s">
        <v>5670</v>
      </c>
      <c r="E965" s="54">
        <v>801.59</v>
      </c>
      <c r="F965" s="54">
        <v>4975.46</v>
      </c>
      <c r="G965" s="54">
        <v>-790.76</v>
      </c>
      <c r="H965" s="54">
        <v>3870.86</v>
      </c>
      <c r="I965" t="s">
        <v>2877</v>
      </c>
      <c r="J965" s="31">
        <v>4975.46</v>
      </c>
      <c r="K965" s="36" t="s">
        <v>2675</v>
      </c>
      <c r="L965" t="s">
        <v>2502</v>
      </c>
      <c r="M965" t="s">
        <v>67</v>
      </c>
      <c r="O965" t="s">
        <v>5671</v>
      </c>
      <c r="P965" t="s">
        <v>1341</v>
      </c>
      <c r="Q965" s="23">
        <v>46281.608645335647</v>
      </c>
      <c r="R965" s="32">
        <f>IF(OR(tbl_de_massas[[#This Row],[dia_vencimento]]="", tbl_de_massas[[#This Row],[dia_vencimento]]="--"), "", WORKDAY(tbl_de_massas[[#This Row],[dia_vencimento]], 5))</f>
        <v>13</v>
      </c>
    </row>
    <row r="966" spans="1:18" x14ac:dyDescent="0.25">
      <c r="A966" t="s">
        <v>5672</v>
      </c>
      <c r="B966" t="s">
        <v>5673</v>
      </c>
      <c r="C966" s="32" t="s">
        <v>5838</v>
      </c>
      <c r="D966" t="s">
        <v>5674</v>
      </c>
      <c r="E966" s="54">
        <v>13181.94</v>
      </c>
      <c r="F966" s="54">
        <v>5037.75</v>
      </c>
      <c r="G966" s="54">
        <v>12892.87</v>
      </c>
      <c r="H966" s="54">
        <v>3870.86</v>
      </c>
      <c r="I966" t="s">
        <v>2877</v>
      </c>
      <c r="J966" s="31">
        <v>5037.75</v>
      </c>
      <c r="K966" s="36" t="s">
        <v>2675</v>
      </c>
      <c r="L966" t="s">
        <v>2502</v>
      </c>
      <c r="M966" t="s">
        <v>67</v>
      </c>
      <c r="O966" t="s">
        <v>5675</v>
      </c>
      <c r="P966" t="s">
        <v>1341</v>
      </c>
      <c r="Q966" s="23">
        <v>46281.608647395835</v>
      </c>
      <c r="R966" s="32">
        <f>IF(OR(tbl_de_massas[[#This Row],[dia_vencimento]]="", tbl_de_massas[[#This Row],[dia_vencimento]]="--"), "", WORKDAY(tbl_de_massas[[#This Row],[dia_vencimento]], 5))</f>
        <v>11</v>
      </c>
    </row>
    <row r="967" spans="1:18" x14ac:dyDescent="0.25">
      <c r="A967" t="s">
        <v>5676</v>
      </c>
      <c r="B967" t="s">
        <v>5677</v>
      </c>
      <c r="C967" s="32" t="s">
        <v>5827</v>
      </c>
      <c r="D967" t="s">
        <v>5678</v>
      </c>
      <c r="E967" s="54">
        <v>12576.66</v>
      </c>
      <c r="F967" s="54">
        <v>641.63</v>
      </c>
      <c r="G967" s="54">
        <v>4393.59</v>
      </c>
      <c r="H967" s="54">
        <v>0</v>
      </c>
      <c r="I967" t="s">
        <v>2881</v>
      </c>
      <c r="J967" s="31">
        <v>641.63</v>
      </c>
      <c r="K967" s="36" t="s">
        <v>1306</v>
      </c>
      <c r="L967" t="s">
        <v>2504</v>
      </c>
      <c r="M967" t="s">
        <v>5679</v>
      </c>
      <c r="N967" t="s">
        <v>1341</v>
      </c>
      <c r="O967" t="s">
        <v>5680</v>
      </c>
      <c r="P967" t="s">
        <v>1341</v>
      </c>
      <c r="Q967" s="23">
        <v>46281.608649363428</v>
      </c>
      <c r="R967" s="32">
        <f>IF(OR(tbl_de_massas[[#This Row],[dia_vencimento]]="", tbl_de_massas[[#This Row],[dia_vencimento]]="--"), "", WORKDAY(tbl_de_massas[[#This Row],[dia_vencimento]], 5))</f>
        <v>12</v>
      </c>
    </row>
    <row r="968" spans="1:18" x14ac:dyDescent="0.25">
      <c r="A968" t="s">
        <v>5681</v>
      </c>
      <c r="B968" t="s">
        <v>5682</v>
      </c>
      <c r="C968" s="32" t="s">
        <v>5837</v>
      </c>
      <c r="D968" t="s">
        <v>5683</v>
      </c>
      <c r="E968" s="54">
        <v>7183.16</v>
      </c>
      <c r="F968" s="54">
        <v>694.96</v>
      </c>
      <c r="G968" s="54">
        <v>11809.87</v>
      </c>
      <c r="H968" s="54">
        <v>0</v>
      </c>
      <c r="I968" t="s">
        <v>2881</v>
      </c>
      <c r="J968" s="31">
        <v>694.96</v>
      </c>
      <c r="K968" s="36" t="s">
        <v>1306</v>
      </c>
      <c r="L968" t="s">
        <v>2504</v>
      </c>
      <c r="M968" t="s">
        <v>5684</v>
      </c>
      <c r="N968" t="s">
        <v>1341</v>
      </c>
      <c r="O968" t="s">
        <v>67</v>
      </c>
      <c r="Q968" s="23">
        <v>46281.608651134258</v>
      </c>
      <c r="R968" s="32">
        <f>IF(OR(tbl_de_massas[[#This Row],[dia_vencimento]]="", tbl_de_massas[[#This Row],[dia_vencimento]]="--"), "", WORKDAY(tbl_de_massas[[#This Row],[dia_vencimento]], 5))</f>
        <v>9</v>
      </c>
    </row>
    <row r="969" spans="1:18" x14ac:dyDescent="0.25">
      <c r="A969" t="s">
        <v>5685</v>
      </c>
      <c r="B969" t="s">
        <v>5686</v>
      </c>
      <c r="C969" s="32" t="s">
        <v>5830</v>
      </c>
      <c r="D969" t="s">
        <v>5687</v>
      </c>
      <c r="E969" s="54">
        <v>11788.01</v>
      </c>
      <c r="F969" s="54">
        <v>4634.71</v>
      </c>
      <c r="G969" s="54">
        <v>13230.21</v>
      </c>
      <c r="H969" s="54">
        <v>3870.86</v>
      </c>
      <c r="I969" t="s">
        <v>2877</v>
      </c>
      <c r="J969" s="31">
        <v>4634.71</v>
      </c>
      <c r="K969" s="36" t="s">
        <v>2675</v>
      </c>
      <c r="L969" t="s">
        <v>2502</v>
      </c>
      <c r="M969" t="s">
        <v>67</v>
      </c>
      <c r="O969" t="s">
        <v>5688</v>
      </c>
      <c r="P969" t="s">
        <v>1341</v>
      </c>
      <c r="Q969" s="23">
        <v>46281.608652916664</v>
      </c>
      <c r="R969" s="32">
        <f>IF(OR(tbl_de_massas[[#This Row],[dia_vencimento]]="", tbl_de_massas[[#This Row],[dia_vencimento]]="--"), "", WORKDAY(tbl_de_massas[[#This Row],[dia_vencimento]], 5))</f>
        <v>13</v>
      </c>
    </row>
    <row r="970" spans="1:18" x14ac:dyDescent="0.25">
      <c r="A970" t="s">
        <v>5689</v>
      </c>
      <c r="B970" t="s">
        <v>5690</v>
      </c>
      <c r="C970" s="32" t="s">
        <v>5829</v>
      </c>
      <c r="D970" t="s">
        <v>5691</v>
      </c>
      <c r="E970" s="54">
        <v>4663.55</v>
      </c>
      <c r="F970" s="54">
        <v>0</v>
      </c>
      <c r="G970" s="54">
        <v>21034.97</v>
      </c>
      <c r="H970" s="54">
        <v>0</v>
      </c>
      <c r="I970" t="s">
        <v>2881</v>
      </c>
      <c r="J970" s="31">
        <v>872.5</v>
      </c>
      <c r="K970" s="36" t="s">
        <v>1306</v>
      </c>
      <c r="L970" t="s">
        <v>2504</v>
      </c>
      <c r="M970" t="s">
        <v>5692</v>
      </c>
      <c r="N970" t="s">
        <v>1341</v>
      </c>
      <c r="O970" t="s">
        <v>5693</v>
      </c>
      <c r="P970" t="s">
        <v>1341</v>
      </c>
      <c r="Q970" s="23">
        <v>46281.608654976852</v>
      </c>
      <c r="R970" s="32">
        <f>IF(OR(tbl_de_massas[[#This Row],[dia_vencimento]]="", tbl_de_massas[[#This Row],[dia_vencimento]]="--"), "", WORKDAY(tbl_de_massas[[#This Row],[dia_vencimento]], 5))</f>
        <v>30</v>
      </c>
    </row>
    <row r="971" spans="1:18" x14ac:dyDescent="0.25">
      <c r="A971" t="s">
        <v>5694</v>
      </c>
      <c r="B971" t="s">
        <v>5695</v>
      </c>
      <c r="C971" s="32" t="s">
        <v>5836</v>
      </c>
      <c r="D971" t="s">
        <v>5696</v>
      </c>
      <c r="E971" s="54">
        <v>6863.5</v>
      </c>
      <c r="F971" s="54">
        <v>4608.13</v>
      </c>
      <c r="G971" s="54">
        <v>8755.3799999999992</v>
      </c>
      <c r="H971" s="54">
        <v>3870.86</v>
      </c>
      <c r="I971" t="s">
        <v>2877</v>
      </c>
      <c r="J971" s="31">
        <v>4608.13</v>
      </c>
      <c r="K971" s="36" t="s">
        <v>2675</v>
      </c>
      <c r="L971" t="s">
        <v>2502</v>
      </c>
      <c r="M971" t="s">
        <v>5697</v>
      </c>
      <c r="N971" t="s">
        <v>1341</v>
      </c>
      <c r="O971" t="s">
        <v>5698</v>
      </c>
      <c r="P971" t="s">
        <v>1341</v>
      </c>
      <c r="Q971" s="23">
        <v>46281.608656608798</v>
      </c>
      <c r="R971" s="32">
        <f>IF(OR(tbl_de_massas[[#This Row],[dia_vencimento]]="", tbl_de_massas[[#This Row],[dia_vencimento]]="--"), "", WORKDAY(tbl_de_massas[[#This Row],[dia_vencimento]], 5))</f>
        <v>34</v>
      </c>
    </row>
    <row r="972" spans="1:18" x14ac:dyDescent="0.25">
      <c r="A972" t="s">
        <v>5699</v>
      </c>
      <c r="B972" t="s">
        <v>5700</v>
      </c>
      <c r="C972" s="32" t="s">
        <v>5835</v>
      </c>
      <c r="D972" t="s">
        <v>5701</v>
      </c>
      <c r="E972" s="54">
        <v>8354.33</v>
      </c>
      <c r="F972" s="54">
        <v>0</v>
      </c>
      <c r="G972" s="54">
        <v>8621.98</v>
      </c>
      <c r="H972" s="54">
        <v>0</v>
      </c>
      <c r="I972" t="s">
        <v>2881</v>
      </c>
      <c r="J972" s="31">
        <v>634.91</v>
      </c>
      <c r="K972" s="36" t="s">
        <v>1306</v>
      </c>
      <c r="L972" t="s">
        <v>2504</v>
      </c>
      <c r="M972" t="s">
        <v>5702</v>
      </c>
      <c r="N972" t="s">
        <v>1341</v>
      </c>
      <c r="O972" t="s">
        <v>5703</v>
      </c>
      <c r="P972" t="s">
        <v>1341</v>
      </c>
      <c r="Q972" s="23">
        <v>46281.608658634257</v>
      </c>
      <c r="R972" s="32">
        <f>IF(OR(tbl_de_massas[[#This Row],[dia_vencimento]]="", tbl_de_massas[[#This Row],[dia_vencimento]]="--"), "", WORKDAY(tbl_de_massas[[#This Row],[dia_vencimento]], 5))</f>
        <v>25</v>
      </c>
    </row>
    <row r="973" spans="1:18" x14ac:dyDescent="0.25">
      <c r="A973" t="s">
        <v>5704</v>
      </c>
      <c r="B973" t="s">
        <v>5705</v>
      </c>
      <c r="C973" s="32" t="s">
        <v>5837</v>
      </c>
      <c r="D973" t="s">
        <v>5706</v>
      </c>
      <c r="E973" s="54">
        <v>9251.4</v>
      </c>
      <c r="F973" s="54">
        <v>740.84</v>
      </c>
      <c r="G973" s="54">
        <v>9965.36</v>
      </c>
      <c r="H973" s="54">
        <v>0</v>
      </c>
      <c r="I973" t="s">
        <v>2881</v>
      </c>
      <c r="J973" s="31">
        <v>740.84</v>
      </c>
      <c r="K973" s="36" t="s">
        <v>1306</v>
      </c>
      <c r="L973" t="s">
        <v>2504</v>
      </c>
      <c r="M973" t="s">
        <v>5707</v>
      </c>
      <c r="N973" t="s">
        <v>1341</v>
      </c>
      <c r="O973" t="s">
        <v>67</v>
      </c>
      <c r="Q973" s="23">
        <v>46281.608660844904</v>
      </c>
      <c r="R973" s="32">
        <f>IF(OR(tbl_de_massas[[#This Row],[dia_vencimento]]="", tbl_de_massas[[#This Row],[dia_vencimento]]="--"), "", WORKDAY(tbl_de_massas[[#This Row],[dia_vencimento]], 5))</f>
        <v>9</v>
      </c>
    </row>
    <row r="974" spans="1:18" x14ac:dyDescent="0.25">
      <c r="A974" t="s">
        <v>5708</v>
      </c>
      <c r="B974" t="s">
        <v>5709</v>
      </c>
      <c r="C974" s="32" t="s">
        <v>5837</v>
      </c>
      <c r="D974" t="s">
        <v>5710</v>
      </c>
      <c r="E974" s="54">
        <v>10217.799999999999</v>
      </c>
      <c r="F974" s="54">
        <v>4660.88</v>
      </c>
      <c r="G974" s="54">
        <v>11444.99</v>
      </c>
      <c r="H974" s="54">
        <v>3870.86</v>
      </c>
      <c r="I974" t="s">
        <v>2877</v>
      </c>
      <c r="J974" s="31">
        <v>4660.88</v>
      </c>
      <c r="K974" s="36" t="s">
        <v>2675</v>
      </c>
      <c r="L974" t="s">
        <v>2502</v>
      </c>
      <c r="M974" t="s">
        <v>67</v>
      </c>
      <c r="O974" t="s">
        <v>5711</v>
      </c>
      <c r="P974" t="s">
        <v>1341</v>
      </c>
      <c r="Q974" s="23">
        <v>46281.608662546299</v>
      </c>
      <c r="R974" s="32">
        <f>IF(OR(tbl_de_massas[[#This Row],[dia_vencimento]]="", tbl_de_massas[[#This Row],[dia_vencimento]]="--"), "", WORKDAY(tbl_de_massas[[#This Row],[dia_vencimento]], 5))</f>
        <v>9</v>
      </c>
    </row>
    <row r="975" spans="1:18" x14ac:dyDescent="0.25">
      <c r="A975" t="s">
        <v>5712</v>
      </c>
      <c r="B975" t="s">
        <v>5713</v>
      </c>
      <c r="C975" s="32" t="s">
        <v>605</v>
      </c>
      <c r="D975" t="s">
        <v>5714</v>
      </c>
      <c r="E975" s="54">
        <v>12599.55</v>
      </c>
      <c r="F975" s="54">
        <v>4724.99</v>
      </c>
      <c r="G975" s="54">
        <v>15324.75</v>
      </c>
      <c r="H975" s="54">
        <v>3870.86</v>
      </c>
      <c r="I975" t="s">
        <v>2877</v>
      </c>
      <c r="J975" s="31">
        <v>4724.99</v>
      </c>
      <c r="K975" s="36" t="s">
        <v>2675</v>
      </c>
      <c r="L975" t="s">
        <v>2502</v>
      </c>
      <c r="M975" t="s">
        <v>5715</v>
      </c>
      <c r="N975" t="s">
        <v>1341</v>
      </c>
      <c r="O975" t="s">
        <v>67</v>
      </c>
      <c r="Q975" s="23">
        <v>46281.608664629632</v>
      </c>
      <c r="R975" s="32">
        <f>IF(OR(tbl_de_massas[[#This Row],[dia_vencimento]]="", tbl_de_massas[[#This Row],[dia_vencimento]]="--"), "", WORKDAY(tbl_de_massas[[#This Row],[dia_vencimento]], 5))</f>
        <v>17</v>
      </c>
    </row>
    <row r="976" spans="1:18" x14ac:dyDescent="0.25">
      <c r="A976" t="s">
        <v>5716</v>
      </c>
      <c r="B976" t="s">
        <v>5717</v>
      </c>
      <c r="C976" s="32" t="s">
        <v>2922</v>
      </c>
      <c r="D976" t="s">
        <v>5718</v>
      </c>
      <c r="E976" s="54">
        <v>7025.07</v>
      </c>
      <c r="F976" s="54">
        <v>4742.12</v>
      </c>
      <c r="G976" s="54">
        <v>3924.07</v>
      </c>
      <c r="H976" s="54">
        <v>3870.86</v>
      </c>
      <c r="I976" t="s">
        <v>2877</v>
      </c>
      <c r="J976" s="31">
        <v>4742.12</v>
      </c>
      <c r="K976" s="36" t="s">
        <v>2675</v>
      </c>
      <c r="L976" t="s">
        <v>2502</v>
      </c>
      <c r="M976" t="s">
        <v>5719</v>
      </c>
      <c r="N976" t="s">
        <v>1341</v>
      </c>
      <c r="O976" t="s">
        <v>5720</v>
      </c>
      <c r="P976" t="s">
        <v>1341</v>
      </c>
      <c r="Q976" s="23">
        <v>46281.60866690972</v>
      </c>
      <c r="R976" s="32">
        <f>IF(OR(tbl_de_massas[[#This Row],[dia_vencimento]]="", tbl_de_massas[[#This Row],[dia_vencimento]]="--"), "", WORKDAY(tbl_de_massas[[#This Row],[dia_vencimento]], 5))</f>
        <v>6</v>
      </c>
    </row>
    <row r="977" spans="1:18" x14ac:dyDescent="0.25">
      <c r="A977" t="s">
        <v>5721</v>
      </c>
      <c r="B977" t="s">
        <v>5722</v>
      </c>
      <c r="C977" s="32" t="s">
        <v>5836</v>
      </c>
      <c r="D977" t="s">
        <v>1609</v>
      </c>
      <c r="E977" s="54">
        <v>8221.9699999999993</v>
      </c>
      <c r="F977" s="54">
        <v>4735.92</v>
      </c>
      <c r="G977" s="54">
        <v>-156.53</v>
      </c>
      <c r="H977" s="54">
        <v>3870.86</v>
      </c>
      <c r="I977" t="s">
        <v>2877</v>
      </c>
      <c r="J977" s="31">
        <v>4735.92</v>
      </c>
      <c r="K977" s="36" t="s">
        <v>2675</v>
      </c>
      <c r="L977" t="s">
        <v>2502</v>
      </c>
      <c r="M977" t="s">
        <v>5723</v>
      </c>
      <c r="N977" t="s">
        <v>1341</v>
      </c>
      <c r="O977" t="s">
        <v>67</v>
      </c>
      <c r="Q977" s="23">
        <v>46281.608668981484</v>
      </c>
      <c r="R977" s="32">
        <f>IF(OR(tbl_de_massas[[#This Row],[dia_vencimento]]="", tbl_de_massas[[#This Row],[dia_vencimento]]="--"), "", WORKDAY(tbl_de_massas[[#This Row],[dia_vencimento]], 5))</f>
        <v>34</v>
      </c>
    </row>
    <row r="978" spans="1:18" x14ac:dyDescent="0.25">
      <c r="A978" t="s">
        <v>5724</v>
      </c>
      <c r="B978" t="s">
        <v>5725</v>
      </c>
      <c r="C978" s="32" t="s">
        <v>607</v>
      </c>
      <c r="D978" t="s">
        <v>5726</v>
      </c>
      <c r="E978" s="54">
        <v>6830.83</v>
      </c>
      <c r="F978" s="54">
        <v>4643.47</v>
      </c>
      <c r="G978" s="54">
        <v>3716.74</v>
      </c>
      <c r="H978" s="54">
        <v>3870.86</v>
      </c>
      <c r="I978" t="s">
        <v>2877</v>
      </c>
      <c r="J978" s="31">
        <v>4643.47</v>
      </c>
      <c r="K978" s="36" t="s">
        <v>2675</v>
      </c>
      <c r="L978" t="s">
        <v>2502</v>
      </c>
      <c r="M978" t="s">
        <v>5727</v>
      </c>
      <c r="N978" t="s">
        <v>1345</v>
      </c>
      <c r="O978" t="s">
        <v>67</v>
      </c>
      <c r="Q978" s="23">
        <v>46281.608671111113</v>
      </c>
      <c r="R978" s="32">
        <f>IF(OR(tbl_de_massas[[#This Row],[dia_vencimento]]="", tbl_de_massas[[#This Row],[dia_vencimento]]="--"), "", WORKDAY(tbl_de_massas[[#This Row],[dia_vencimento]], 5))</f>
        <v>20</v>
      </c>
    </row>
    <row r="979" spans="1:18" x14ac:dyDescent="0.25">
      <c r="A979" t="s">
        <v>5728</v>
      </c>
      <c r="B979" t="s">
        <v>5729</v>
      </c>
      <c r="C979" s="32" t="s">
        <v>5832</v>
      </c>
      <c r="D979" t="s">
        <v>5730</v>
      </c>
      <c r="E979" s="54">
        <v>3731.47</v>
      </c>
      <c r="F979" s="54">
        <v>0</v>
      </c>
      <c r="G979" s="54">
        <v>4216.0200000000004</v>
      </c>
      <c r="H979" s="54">
        <v>0</v>
      </c>
      <c r="I979" t="s">
        <v>2881</v>
      </c>
      <c r="J979" s="31">
        <v>600.86</v>
      </c>
      <c r="K979" s="36" t="s">
        <v>1306</v>
      </c>
      <c r="L979" t="s">
        <v>2504</v>
      </c>
      <c r="M979" t="s">
        <v>67</v>
      </c>
      <c r="O979" t="s">
        <v>5731</v>
      </c>
      <c r="P979" t="s">
        <v>1341</v>
      </c>
      <c r="Q979" s="23">
        <v>46281.60867321759</v>
      </c>
      <c r="R979" s="32">
        <f>IF(OR(tbl_de_massas[[#This Row],[dia_vencimento]]="", tbl_de_massas[[#This Row],[dia_vencimento]]="--"), "", WORKDAY(tbl_de_massas[[#This Row],[dia_vencimento]], 5))</f>
        <v>27</v>
      </c>
    </row>
    <row r="980" spans="1:18" x14ac:dyDescent="0.25">
      <c r="A980" t="s">
        <v>5732</v>
      </c>
      <c r="B980" t="s">
        <v>5733</v>
      </c>
      <c r="C980" s="32" t="s">
        <v>2924</v>
      </c>
      <c r="D980" t="s">
        <v>5734</v>
      </c>
      <c r="E980" s="54">
        <v>12875.32</v>
      </c>
      <c r="F980" s="54">
        <v>4849.22</v>
      </c>
      <c r="G980" s="54">
        <v>-1228.99</v>
      </c>
      <c r="H980" s="54">
        <v>3870.86</v>
      </c>
      <c r="I980" t="s">
        <v>2877</v>
      </c>
      <c r="J980" s="31">
        <v>4849.22</v>
      </c>
      <c r="K980" s="36" t="s">
        <v>2675</v>
      </c>
      <c r="L980" t="s">
        <v>2502</v>
      </c>
      <c r="M980" t="s">
        <v>67</v>
      </c>
      <c r="O980" t="s">
        <v>5735</v>
      </c>
      <c r="P980" t="s">
        <v>1341</v>
      </c>
      <c r="Q980" s="23">
        <v>46281.608674872688</v>
      </c>
      <c r="R980" s="32">
        <f>IF(OR(tbl_de_massas[[#This Row],[dia_vencimento]]="", tbl_de_massas[[#This Row],[dia_vencimento]]="--"), "", WORKDAY(tbl_de_massas[[#This Row],[dia_vencimento]], 5))</f>
        <v>26</v>
      </c>
    </row>
    <row r="981" spans="1:18" x14ac:dyDescent="0.25">
      <c r="A981" t="s">
        <v>5736</v>
      </c>
      <c r="B981" t="s">
        <v>5737</v>
      </c>
      <c r="C981" s="32" t="s">
        <v>2922</v>
      </c>
      <c r="D981" t="s">
        <v>5738</v>
      </c>
      <c r="E981" s="54">
        <v>5829.63</v>
      </c>
      <c r="F981" s="54">
        <v>4727.32</v>
      </c>
      <c r="G981" s="54">
        <v>6348.63</v>
      </c>
      <c r="H981" s="54">
        <v>3870.86</v>
      </c>
      <c r="I981" t="s">
        <v>2877</v>
      </c>
      <c r="J981" s="31">
        <v>4727.32</v>
      </c>
      <c r="K981" s="36" t="s">
        <v>2675</v>
      </c>
      <c r="L981" t="s">
        <v>2502</v>
      </c>
      <c r="M981" t="s">
        <v>5739</v>
      </c>
      <c r="N981" t="s">
        <v>1341</v>
      </c>
      <c r="O981" t="s">
        <v>5740</v>
      </c>
      <c r="P981" t="s">
        <v>1341</v>
      </c>
      <c r="Q981" s="23">
        <v>46281.608677118056</v>
      </c>
      <c r="R981" s="32">
        <f>IF(OR(tbl_de_massas[[#This Row],[dia_vencimento]]="", tbl_de_massas[[#This Row],[dia_vencimento]]="--"), "", WORKDAY(tbl_de_massas[[#This Row],[dia_vencimento]], 5))</f>
        <v>6</v>
      </c>
    </row>
    <row r="982" spans="1:18" x14ac:dyDescent="0.25">
      <c r="A982" t="s">
        <v>5741</v>
      </c>
      <c r="B982" t="s">
        <v>5742</v>
      </c>
      <c r="C982" s="32" t="s">
        <v>2346</v>
      </c>
      <c r="D982" t="s">
        <v>5743</v>
      </c>
      <c r="E982" s="54">
        <v>9777.2800000000007</v>
      </c>
      <c r="F982" s="54">
        <v>505</v>
      </c>
      <c r="G982" s="54">
        <v>10677.5</v>
      </c>
      <c r="H982" s="54">
        <v>0</v>
      </c>
      <c r="I982" t="s">
        <v>2881</v>
      </c>
      <c r="J982" s="31">
        <v>505</v>
      </c>
      <c r="K982" s="36" t="s">
        <v>1306</v>
      </c>
      <c r="L982" t="s">
        <v>2504</v>
      </c>
      <c r="M982" t="s">
        <v>67</v>
      </c>
      <c r="O982" t="s">
        <v>5744</v>
      </c>
      <c r="P982" t="s">
        <v>1341</v>
      </c>
      <c r="Q982" s="23">
        <v>46281.608679131947</v>
      </c>
      <c r="R982" s="32">
        <f>IF(OR(tbl_de_massas[[#This Row],[dia_vencimento]]="", tbl_de_massas[[#This Row],[dia_vencimento]]="--"), "", WORKDAY(tbl_de_massas[[#This Row],[dia_vencimento]], 5))</f>
        <v>18</v>
      </c>
    </row>
    <row r="983" spans="1:18" x14ac:dyDescent="0.25">
      <c r="A983" t="s">
        <v>5745</v>
      </c>
      <c r="B983" t="s">
        <v>5746</v>
      </c>
      <c r="C983" s="32" t="s">
        <v>2917</v>
      </c>
      <c r="D983" t="s">
        <v>5747</v>
      </c>
      <c r="E983" s="54">
        <v>13667.95</v>
      </c>
      <c r="F983" s="54">
        <v>4619.43</v>
      </c>
      <c r="G983" s="54">
        <v>-1402.12</v>
      </c>
      <c r="H983" s="54">
        <v>3870.86</v>
      </c>
      <c r="I983" t="s">
        <v>2877</v>
      </c>
      <c r="J983" s="31">
        <v>4619.43</v>
      </c>
      <c r="K983" s="36" t="s">
        <v>2675</v>
      </c>
      <c r="L983" t="s">
        <v>2502</v>
      </c>
      <c r="M983" t="s">
        <v>5748</v>
      </c>
      <c r="N983" t="s">
        <v>1341</v>
      </c>
      <c r="O983" t="s">
        <v>67</v>
      </c>
      <c r="Q983" s="23">
        <v>46281.608681006946</v>
      </c>
      <c r="R983" s="32">
        <f>IF(OR(tbl_de_massas[[#This Row],[dia_vencimento]]="", tbl_de_massas[[#This Row],[dia_vencimento]]="--"), "", WORKDAY(tbl_de_massas[[#This Row],[dia_vencimento]], 5))</f>
        <v>27</v>
      </c>
    </row>
    <row r="984" spans="1:18" x14ac:dyDescent="0.25">
      <c r="A984" t="s">
        <v>5749</v>
      </c>
      <c r="B984" t="s">
        <v>5750</v>
      </c>
      <c r="C984" s="32" t="s">
        <v>2346</v>
      </c>
      <c r="D984" t="s">
        <v>5751</v>
      </c>
      <c r="E984" s="54">
        <v>6294.99</v>
      </c>
      <c r="F984" s="54">
        <v>512.39</v>
      </c>
      <c r="G984" s="54">
        <v>5849.25</v>
      </c>
      <c r="H984" s="54">
        <v>0</v>
      </c>
      <c r="I984" t="s">
        <v>2881</v>
      </c>
      <c r="J984" s="31">
        <v>512.39</v>
      </c>
      <c r="K984" s="36" t="s">
        <v>1306</v>
      </c>
      <c r="L984" t="s">
        <v>2504</v>
      </c>
      <c r="M984" t="s">
        <v>5752</v>
      </c>
      <c r="N984" t="s">
        <v>1341</v>
      </c>
      <c r="O984" t="s">
        <v>5753</v>
      </c>
      <c r="P984" t="s">
        <v>1341</v>
      </c>
      <c r="Q984" s="23">
        <v>46281.608683449071</v>
      </c>
      <c r="R984" s="32">
        <f>IF(OR(tbl_de_massas[[#This Row],[dia_vencimento]]="", tbl_de_massas[[#This Row],[dia_vencimento]]="--"), "", WORKDAY(tbl_de_massas[[#This Row],[dia_vencimento]], 5))</f>
        <v>18</v>
      </c>
    </row>
    <row r="985" spans="1:18" x14ac:dyDescent="0.25">
      <c r="A985" t="s">
        <v>5754</v>
      </c>
      <c r="B985" t="s">
        <v>5755</v>
      </c>
      <c r="C985" s="32" t="s">
        <v>2360</v>
      </c>
      <c r="D985" t="s">
        <v>5038</v>
      </c>
      <c r="E985" s="54">
        <v>12458.53</v>
      </c>
      <c r="F985" s="54">
        <v>4693.9399999999996</v>
      </c>
      <c r="G985" s="54">
        <v>12457.79</v>
      </c>
      <c r="H985" s="54">
        <v>3870.86</v>
      </c>
      <c r="I985" t="s">
        <v>2877</v>
      </c>
      <c r="J985" s="31">
        <v>4693.9399999999996</v>
      </c>
      <c r="K985" s="36" t="s">
        <v>2675</v>
      </c>
      <c r="L985" t="s">
        <v>2502</v>
      </c>
      <c r="M985" t="s">
        <v>67</v>
      </c>
      <c r="O985" t="s">
        <v>5756</v>
      </c>
      <c r="P985" t="s">
        <v>1341</v>
      </c>
      <c r="Q985" s="23">
        <v>46281.608685451392</v>
      </c>
      <c r="R985" s="32">
        <f>IF(OR(tbl_de_massas[[#This Row],[dia_vencimento]]="", tbl_de_massas[[#This Row],[dia_vencimento]]="--"), "", WORKDAY(tbl_de_massas[[#This Row],[dia_vencimento]], 5))</f>
        <v>19</v>
      </c>
    </row>
    <row r="986" spans="1:18" x14ac:dyDescent="0.25">
      <c r="A986" t="s">
        <v>5757</v>
      </c>
      <c r="B986" t="s">
        <v>5758</v>
      </c>
      <c r="C986" s="32" t="s">
        <v>5838</v>
      </c>
      <c r="D986" t="s">
        <v>5759</v>
      </c>
      <c r="E986" s="54">
        <v>1458.02</v>
      </c>
      <c r="F986" s="54">
        <v>825.29</v>
      </c>
      <c r="G986" s="54">
        <v>14076.27</v>
      </c>
      <c r="H986" s="54">
        <v>0</v>
      </c>
      <c r="I986" t="s">
        <v>2881</v>
      </c>
      <c r="J986" s="31">
        <v>825.29</v>
      </c>
      <c r="K986" s="36" t="s">
        <v>1306</v>
      </c>
      <c r="L986" t="s">
        <v>2504</v>
      </c>
      <c r="M986" t="s">
        <v>67</v>
      </c>
      <c r="O986" t="s">
        <v>5760</v>
      </c>
      <c r="P986" t="s">
        <v>1341</v>
      </c>
      <c r="Q986" s="23">
        <v>46281.608687615742</v>
      </c>
      <c r="R986" s="32">
        <f>IF(OR(tbl_de_massas[[#This Row],[dia_vencimento]]="", tbl_de_massas[[#This Row],[dia_vencimento]]="--"), "", WORKDAY(tbl_de_massas[[#This Row],[dia_vencimento]], 5))</f>
        <v>11</v>
      </c>
    </row>
    <row r="987" spans="1:18" x14ac:dyDescent="0.25">
      <c r="A987" t="s">
        <v>5761</v>
      </c>
      <c r="B987" t="s">
        <v>5762</v>
      </c>
      <c r="C987" s="32" t="s">
        <v>2346</v>
      </c>
      <c r="D987" t="s">
        <v>5763</v>
      </c>
      <c r="E987" s="54">
        <v>9894.4599999999991</v>
      </c>
      <c r="F987" s="54">
        <v>4933.3100000000004</v>
      </c>
      <c r="G987" s="54">
        <v>10730.95</v>
      </c>
      <c r="H987" s="54">
        <v>3870.86</v>
      </c>
      <c r="I987" t="s">
        <v>2877</v>
      </c>
      <c r="J987" s="31">
        <v>4933.3100000000004</v>
      </c>
      <c r="K987" s="36" t="s">
        <v>2675</v>
      </c>
      <c r="L987" t="s">
        <v>2502</v>
      </c>
      <c r="M987" t="s">
        <v>67</v>
      </c>
      <c r="O987" t="s">
        <v>5764</v>
      </c>
      <c r="P987" t="s">
        <v>1341</v>
      </c>
      <c r="Q987" s="23">
        <v>46281.608689594905</v>
      </c>
      <c r="R987" s="32">
        <f>IF(OR(tbl_de_massas[[#This Row],[dia_vencimento]]="", tbl_de_massas[[#This Row],[dia_vencimento]]="--"), "", WORKDAY(tbl_de_massas[[#This Row],[dia_vencimento]], 5))</f>
        <v>18</v>
      </c>
    </row>
    <row r="988" spans="1:18" x14ac:dyDescent="0.25">
      <c r="A988" t="s">
        <v>5765</v>
      </c>
      <c r="B988" t="s">
        <v>5766</v>
      </c>
      <c r="C988" s="32" t="s">
        <v>5827</v>
      </c>
      <c r="D988" t="s">
        <v>5767</v>
      </c>
      <c r="E988" s="54">
        <v>2444.27</v>
      </c>
      <c r="F988" s="54">
        <v>4997.6099999999997</v>
      </c>
      <c r="G988" s="54">
        <v>2687.18</v>
      </c>
      <c r="H988" s="54">
        <v>3870.86</v>
      </c>
      <c r="I988" t="s">
        <v>2877</v>
      </c>
      <c r="J988" s="31">
        <v>4997.6099999999997</v>
      </c>
      <c r="K988" s="36" t="s">
        <v>2675</v>
      </c>
      <c r="L988" t="s">
        <v>2502</v>
      </c>
      <c r="M988" t="s">
        <v>67</v>
      </c>
      <c r="O988" t="s">
        <v>5768</v>
      </c>
      <c r="P988" t="s">
        <v>1341</v>
      </c>
      <c r="Q988" s="23">
        <v>46281.608691666668</v>
      </c>
      <c r="R988" s="32">
        <f>IF(OR(tbl_de_massas[[#This Row],[dia_vencimento]]="", tbl_de_massas[[#This Row],[dia_vencimento]]="--"), "", WORKDAY(tbl_de_massas[[#This Row],[dia_vencimento]], 5))</f>
        <v>12</v>
      </c>
    </row>
    <row r="989" spans="1:18" x14ac:dyDescent="0.25">
      <c r="A989" t="s">
        <v>5769</v>
      </c>
      <c r="B989" t="s">
        <v>5770</v>
      </c>
      <c r="C989" s="32" t="s">
        <v>5837</v>
      </c>
      <c r="D989" t="s">
        <v>5771</v>
      </c>
      <c r="E989" s="54">
        <v>9121.57</v>
      </c>
      <c r="F989" s="54">
        <v>4938.1400000000003</v>
      </c>
      <c r="G989" s="54">
        <v>13200.34</v>
      </c>
      <c r="H989" s="54">
        <v>3870.86</v>
      </c>
      <c r="I989" t="s">
        <v>2877</v>
      </c>
      <c r="J989" s="31">
        <v>4938.1400000000003</v>
      </c>
      <c r="K989" s="36" t="s">
        <v>2675</v>
      </c>
      <c r="L989" t="s">
        <v>2502</v>
      </c>
      <c r="M989" t="s">
        <v>5772</v>
      </c>
      <c r="N989" t="s">
        <v>1341</v>
      </c>
      <c r="O989" t="s">
        <v>5773</v>
      </c>
      <c r="P989" t="s">
        <v>1341</v>
      </c>
      <c r="Q989" s="23">
        <v>46281.608693680559</v>
      </c>
      <c r="R989" s="32">
        <f>IF(OR(tbl_de_massas[[#This Row],[dia_vencimento]]="", tbl_de_massas[[#This Row],[dia_vencimento]]="--"), "", WORKDAY(tbl_de_massas[[#This Row],[dia_vencimento]], 5))</f>
        <v>9</v>
      </c>
    </row>
    <row r="990" spans="1:18" x14ac:dyDescent="0.25">
      <c r="A990" t="s">
        <v>5774</v>
      </c>
      <c r="B990" t="s">
        <v>5775</v>
      </c>
      <c r="C990" s="32" t="s">
        <v>2675</v>
      </c>
      <c r="D990" t="s">
        <v>5776</v>
      </c>
      <c r="E990" s="54">
        <v>14375.59</v>
      </c>
      <c r="F990" s="54">
        <v>4888.13</v>
      </c>
      <c r="G990" s="54">
        <v>4167.08</v>
      </c>
      <c r="H990" s="54">
        <v>3870.86</v>
      </c>
      <c r="I990" t="s">
        <v>2877</v>
      </c>
      <c r="J990" s="31">
        <v>4888.13</v>
      </c>
      <c r="K990" s="36" t="s">
        <v>2675</v>
      </c>
      <c r="L990" t="s">
        <v>2502</v>
      </c>
      <c r="M990" t="s">
        <v>67</v>
      </c>
      <c r="O990" t="s">
        <v>5777</v>
      </c>
      <c r="P990" t="s">
        <v>1341</v>
      </c>
      <c r="Q990" s="23">
        <v>46281.608695833333</v>
      </c>
      <c r="R990" s="32">
        <f>IF(OR(tbl_de_massas[[#This Row],[dia_vencimento]]="", tbl_de_massas[[#This Row],[dia_vencimento]]="--"), "", WORKDAY(tbl_de_massas[[#This Row],[dia_vencimento]], 5))</f>
        <v>23</v>
      </c>
    </row>
    <row r="991" spans="1:18" x14ac:dyDescent="0.25">
      <c r="A991" t="s">
        <v>5778</v>
      </c>
      <c r="B991" t="s">
        <v>5779</v>
      </c>
      <c r="C991" s="32" t="s">
        <v>608</v>
      </c>
      <c r="D991" t="s">
        <v>5780</v>
      </c>
      <c r="E991" s="54">
        <v>1561.06</v>
      </c>
      <c r="F991" s="54">
        <v>0</v>
      </c>
      <c r="G991" s="54">
        <v>14557.12</v>
      </c>
      <c r="H991" s="54">
        <v>0</v>
      </c>
      <c r="I991" t="s">
        <v>2881</v>
      </c>
      <c r="J991" s="31">
        <v>884.99</v>
      </c>
      <c r="K991" s="36" t="s">
        <v>1306</v>
      </c>
      <c r="L991" t="s">
        <v>2504</v>
      </c>
      <c r="M991" t="s">
        <v>5781</v>
      </c>
      <c r="N991" t="s">
        <v>1345</v>
      </c>
      <c r="O991" t="s">
        <v>5782</v>
      </c>
      <c r="P991" t="s">
        <v>1345</v>
      </c>
      <c r="Q991" s="23">
        <v>46281.608697777781</v>
      </c>
      <c r="R991" s="32">
        <f>IF(OR(tbl_de_massas[[#This Row],[dia_vencimento]]="", tbl_de_massas[[#This Row],[dia_vencimento]]="--"), "", WORKDAY(tbl_de_massas[[#This Row],[dia_vencimento]], 5))</f>
        <v>27</v>
      </c>
    </row>
    <row r="992" spans="1:18" x14ac:dyDescent="0.25">
      <c r="A992" t="s">
        <v>5783</v>
      </c>
      <c r="B992" t="s">
        <v>5784</v>
      </c>
      <c r="C992" s="32" t="s">
        <v>2922</v>
      </c>
      <c r="D992" t="s">
        <v>5785</v>
      </c>
      <c r="E992" s="54">
        <v>3404.38</v>
      </c>
      <c r="F992" s="54">
        <v>4931.78</v>
      </c>
      <c r="G992" s="54">
        <v>8625.84</v>
      </c>
      <c r="H992" s="54">
        <v>3870.86</v>
      </c>
      <c r="I992" t="s">
        <v>2877</v>
      </c>
      <c r="J992" s="31">
        <v>4931.78</v>
      </c>
      <c r="K992" s="36" t="s">
        <v>2675</v>
      </c>
      <c r="L992" t="s">
        <v>2502</v>
      </c>
      <c r="M992" t="s">
        <v>5786</v>
      </c>
      <c r="N992" t="s">
        <v>1341</v>
      </c>
      <c r="O992" t="s">
        <v>5787</v>
      </c>
      <c r="P992" t="s">
        <v>1341</v>
      </c>
      <c r="Q992" s="23">
        <v>46281.608699699071</v>
      </c>
      <c r="R992" s="32">
        <f>IF(OR(tbl_de_massas[[#This Row],[dia_vencimento]]="", tbl_de_massas[[#This Row],[dia_vencimento]]="--"), "", WORKDAY(tbl_de_massas[[#This Row],[dia_vencimento]], 5))</f>
        <v>6</v>
      </c>
    </row>
    <row r="993" spans="1:18" x14ac:dyDescent="0.25">
      <c r="A993" t="s">
        <v>5788</v>
      </c>
      <c r="B993" t="s">
        <v>5789</v>
      </c>
      <c r="C993" s="32" t="s">
        <v>2362</v>
      </c>
      <c r="D993" t="s">
        <v>5790</v>
      </c>
      <c r="E993" s="54">
        <v>1630.76</v>
      </c>
      <c r="F993" s="54">
        <v>671.88</v>
      </c>
      <c r="G993" s="54">
        <v>13872.26</v>
      </c>
      <c r="H993" s="54">
        <v>0</v>
      </c>
      <c r="I993" t="s">
        <v>2881</v>
      </c>
      <c r="J993" s="31">
        <v>671.88</v>
      </c>
      <c r="K993" s="36" t="s">
        <v>1306</v>
      </c>
      <c r="L993" t="s">
        <v>2504</v>
      </c>
      <c r="M993" t="s">
        <v>5791</v>
      </c>
      <c r="N993" t="s">
        <v>1341</v>
      </c>
      <c r="O993" t="s">
        <v>67</v>
      </c>
      <c r="Q993" s="23">
        <v>46281.608701921294</v>
      </c>
      <c r="R993" s="32">
        <f>IF(OR(tbl_de_massas[[#This Row],[dia_vencimento]]="", tbl_de_massas[[#This Row],[dia_vencimento]]="--"), "", WORKDAY(tbl_de_massas[[#This Row],[dia_vencimento]], 5))</f>
        <v>20</v>
      </c>
    </row>
    <row r="994" spans="1:18" x14ac:dyDescent="0.25">
      <c r="A994" t="s">
        <v>5792</v>
      </c>
      <c r="B994" t="s">
        <v>5793</v>
      </c>
      <c r="C994" s="32" t="s">
        <v>5829</v>
      </c>
      <c r="D994" t="s">
        <v>5794</v>
      </c>
      <c r="E994" s="54">
        <v>3807.65</v>
      </c>
      <c r="F994" s="54">
        <v>4787.62</v>
      </c>
      <c r="G994" s="54">
        <v>3552.36</v>
      </c>
      <c r="H994" s="54">
        <v>3870.86</v>
      </c>
      <c r="I994" t="s">
        <v>2877</v>
      </c>
      <c r="J994" s="31">
        <v>4787.62</v>
      </c>
      <c r="K994" s="36" t="s">
        <v>2675</v>
      </c>
      <c r="L994" t="s">
        <v>2502</v>
      </c>
      <c r="M994" t="s">
        <v>5795</v>
      </c>
      <c r="N994" t="s">
        <v>1345</v>
      </c>
      <c r="O994" t="s">
        <v>5796</v>
      </c>
      <c r="P994" t="s">
        <v>1345</v>
      </c>
      <c r="Q994" s="23">
        <v>46281.608703703707</v>
      </c>
      <c r="R994" s="32">
        <f>IF(OR(tbl_de_massas[[#This Row],[dia_vencimento]]="", tbl_de_massas[[#This Row],[dia_vencimento]]="--"), "", WORKDAY(tbl_de_massas[[#This Row],[dia_vencimento]], 5))</f>
        <v>30</v>
      </c>
    </row>
    <row r="995" spans="1:18" x14ac:dyDescent="0.25">
      <c r="A995" t="s">
        <v>5797</v>
      </c>
      <c r="B995" t="s">
        <v>5798</v>
      </c>
      <c r="C995" s="32" t="s">
        <v>2362</v>
      </c>
      <c r="D995" t="s">
        <v>5799</v>
      </c>
      <c r="E995" s="54">
        <v>10018.81</v>
      </c>
      <c r="F995" s="54">
        <v>232.39</v>
      </c>
      <c r="G995" s="54">
        <v>11727.59</v>
      </c>
      <c r="H995" s="54">
        <v>0</v>
      </c>
      <c r="I995" t="s">
        <v>2881</v>
      </c>
      <c r="J995" s="31">
        <v>697.18</v>
      </c>
      <c r="K995" s="36" t="s">
        <v>1306</v>
      </c>
      <c r="L995" t="s">
        <v>2504</v>
      </c>
      <c r="M995" t="s">
        <v>67</v>
      </c>
      <c r="O995" t="s">
        <v>5800</v>
      </c>
      <c r="P995" t="s">
        <v>1341</v>
      </c>
      <c r="Q995" s="23">
        <v>46281.608705763887</v>
      </c>
      <c r="R995" s="32">
        <f>IF(OR(tbl_de_massas[[#This Row],[dia_vencimento]]="", tbl_de_massas[[#This Row],[dia_vencimento]]="--"), "", WORKDAY(tbl_de_massas[[#This Row],[dia_vencimento]], 5))</f>
        <v>20</v>
      </c>
    </row>
    <row r="996" spans="1:18" x14ac:dyDescent="0.25">
      <c r="A996" t="s">
        <v>5801</v>
      </c>
      <c r="B996" t="s">
        <v>5802</v>
      </c>
      <c r="C996" s="32" t="s">
        <v>5838</v>
      </c>
      <c r="D996" t="s">
        <v>5803</v>
      </c>
      <c r="E996" s="54">
        <v>2148.9899999999998</v>
      </c>
      <c r="F996" s="54">
        <v>4641.9799999999996</v>
      </c>
      <c r="G996" s="54">
        <v>13536.58</v>
      </c>
      <c r="H996" s="54">
        <v>3870.86</v>
      </c>
      <c r="I996" t="s">
        <v>2877</v>
      </c>
      <c r="J996" s="31">
        <v>4641.9799999999996</v>
      </c>
      <c r="K996" s="36" t="s">
        <v>2675</v>
      </c>
      <c r="L996" t="s">
        <v>2502</v>
      </c>
      <c r="M996" t="s">
        <v>5804</v>
      </c>
      <c r="N996" t="s">
        <v>1341</v>
      </c>
      <c r="O996" t="s">
        <v>67</v>
      </c>
      <c r="Q996" s="23">
        <v>46281.608707488427</v>
      </c>
      <c r="R996" s="32">
        <f>IF(OR(tbl_de_massas[[#This Row],[dia_vencimento]]="", tbl_de_massas[[#This Row],[dia_vencimento]]="--"), "", WORKDAY(tbl_de_massas[[#This Row],[dia_vencimento]], 5))</f>
        <v>11</v>
      </c>
    </row>
    <row r="997" spans="1:18" x14ac:dyDescent="0.25">
      <c r="A997" t="s">
        <v>5805</v>
      </c>
      <c r="B997" t="s">
        <v>5806</v>
      </c>
      <c r="C997" s="32" t="s">
        <v>5839</v>
      </c>
      <c r="D997" t="s">
        <v>3553</v>
      </c>
      <c r="E997" s="54">
        <v>5381.8</v>
      </c>
      <c r="F997" s="54">
        <v>0</v>
      </c>
      <c r="G997" s="54">
        <v>20439.12</v>
      </c>
      <c r="H997" s="54">
        <v>0</v>
      </c>
      <c r="I997" t="s">
        <v>2881</v>
      </c>
      <c r="J997" s="31">
        <v>760.98</v>
      </c>
      <c r="K997" s="36" t="s">
        <v>1306</v>
      </c>
      <c r="L997" t="s">
        <v>2504</v>
      </c>
      <c r="M997" t="s">
        <v>67</v>
      </c>
      <c r="O997" t="s">
        <v>5807</v>
      </c>
      <c r="P997" t="s">
        <v>1341</v>
      </c>
      <c r="Q997" s="23">
        <v>46281.608709432869</v>
      </c>
      <c r="R997" s="32">
        <f>IF(OR(tbl_de_massas[[#This Row],[dia_vencimento]]="", tbl_de_massas[[#This Row],[dia_vencimento]]="--"), "", WORKDAY(tbl_de_massas[[#This Row],[dia_vencimento]], 5))</f>
        <v>31</v>
      </c>
    </row>
    <row r="998" spans="1:18" x14ac:dyDescent="0.25">
      <c r="A998" t="s">
        <v>5808</v>
      </c>
      <c r="B998" t="s">
        <v>5809</v>
      </c>
      <c r="C998" s="32" t="s">
        <v>5827</v>
      </c>
      <c r="D998" t="s">
        <v>5810</v>
      </c>
      <c r="E998" s="54">
        <v>4424.95</v>
      </c>
      <c r="F998" s="54">
        <v>5013.79</v>
      </c>
      <c r="G998" s="54">
        <v>9293.5300000000007</v>
      </c>
      <c r="H998" s="54">
        <v>3870.86</v>
      </c>
      <c r="I998" t="s">
        <v>2877</v>
      </c>
      <c r="J998" s="31">
        <v>5013.79</v>
      </c>
      <c r="K998" s="36" t="s">
        <v>2675</v>
      </c>
      <c r="L998" t="s">
        <v>2502</v>
      </c>
      <c r="M998" t="s">
        <v>67</v>
      </c>
      <c r="O998" t="s">
        <v>5811</v>
      </c>
      <c r="P998" t="s">
        <v>1341</v>
      </c>
      <c r="Q998" s="23">
        <v>46281.608710960645</v>
      </c>
      <c r="R998" s="32">
        <f>IF(OR(tbl_de_massas[[#This Row],[dia_vencimento]]="", tbl_de_massas[[#This Row],[dia_vencimento]]="--"), "", WORKDAY(tbl_de_massas[[#This Row],[dia_vencimento]], 5))</f>
        <v>12</v>
      </c>
    </row>
    <row r="999" spans="1:18" x14ac:dyDescent="0.25">
      <c r="A999" t="s">
        <v>5812</v>
      </c>
      <c r="B999" t="s">
        <v>5813</v>
      </c>
      <c r="C999" s="32" t="s">
        <v>5831</v>
      </c>
      <c r="D999" t="s">
        <v>5814</v>
      </c>
      <c r="E999" s="54">
        <v>4048.8</v>
      </c>
      <c r="F999" s="54">
        <v>773.99</v>
      </c>
      <c r="G999" s="54">
        <v>5560.89</v>
      </c>
      <c r="H999" s="54">
        <v>0</v>
      </c>
      <c r="I999" t="s">
        <v>2881</v>
      </c>
      <c r="J999" s="31">
        <v>773.99</v>
      </c>
      <c r="K999" s="36" t="s">
        <v>1306</v>
      </c>
      <c r="L999" t="s">
        <v>2504</v>
      </c>
      <c r="M999" t="s">
        <v>67</v>
      </c>
      <c r="O999" t="s">
        <v>5815</v>
      </c>
      <c r="P999" t="s">
        <v>1345</v>
      </c>
      <c r="Q999" s="23">
        <v>46281.608713182868</v>
      </c>
      <c r="R999" s="32">
        <f>IF(OR(tbl_de_massas[[#This Row],[dia_vencimento]]="", tbl_de_massas[[#This Row],[dia_vencimento]]="--"), "", WORKDAY(tbl_de_massas[[#This Row],[dia_vencimento]], 5))</f>
        <v>16</v>
      </c>
    </row>
    <row r="1000" spans="1:18" x14ac:dyDescent="0.25">
      <c r="A1000" t="s">
        <v>5816</v>
      </c>
      <c r="B1000" t="s">
        <v>5817</v>
      </c>
      <c r="C1000" s="32" t="s">
        <v>5838</v>
      </c>
      <c r="D1000" t="s">
        <v>5818</v>
      </c>
      <c r="E1000" s="54">
        <v>6460.59</v>
      </c>
      <c r="F1000" s="54">
        <v>4919.47</v>
      </c>
      <c r="G1000" s="54">
        <v>-1853.08</v>
      </c>
      <c r="H1000" s="54">
        <v>3870.86</v>
      </c>
      <c r="I1000" t="s">
        <v>2877</v>
      </c>
      <c r="J1000" s="31">
        <v>4919.47</v>
      </c>
      <c r="K1000" s="36" t="s">
        <v>2675</v>
      </c>
      <c r="L1000" t="s">
        <v>2502</v>
      </c>
      <c r="M1000" t="s">
        <v>67</v>
      </c>
      <c r="O1000" t="s">
        <v>5819</v>
      </c>
      <c r="P1000" t="s">
        <v>1341</v>
      </c>
      <c r="Q1000" s="23">
        <v>46281.608714895832</v>
      </c>
      <c r="R1000" s="32">
        <f>IF(OR(tbl_de_massas[[#This Row],[dia_vencimento]]="", tbl_de_massas[[#This Row],[dia_vencimento]]="--"), "", WORKDAY(tbl_de_massas[[#This Row],[dia_vencimento]], 5))</f>
        <v>11</v>
      </c>
    </row>
    <row r="1001" spans="1:18" x14ac:dyDescent="0.25">
      <c r="A1001" t="s">
        <v>5820</v>
      </c>
      <c r="B1001" t="s">
        <v>5821</v>
      </c>
      <c r="C1001" s="32" t="s">
        <v>5838</v>
      </c>
      <c r="D1001" t="s">
        <v>5822</v>
      </c>
      <c r="E1001" s="54">
        <v>1050.58</v>
      </c>
      <c r="F1001" s="54">
        <v>4818.34</v>
      </c>
      <c r="G1001" s="54">
        <v>2965.95</v>
      </c>
      <c r="H1001" s="54">
        <v>3870.86</v>
      </c>
      <c r="I1001" t="s">
        <v>2877</v>
      </c>
      <c r="J1001" s="31">
        <v>4818.34</v>
      </c>
      <c r="K1001" s="36" t="s">
        <v>2675</v>
      </c>
      <c r="L1001" t="s">
        <v>2502</v>
      </c>
      <c r="M1001" t="s">
        <v>5823</v>
      </c>
      <c r="N1001" t="s">
        <v>1341</v>
      </c>
      <c r="O1001" t="s">
        <v>5824</v>
      </c>
      <c r="P1001" t="s">
        <v>1341</v>
      </c>
      <c r="Q1001" s="23">
        <v>46281.608716875002</v>
      </c>
      <c r="R1001" s="32">
        <f>IF(OR(tbl_de_massas[[#This Row],[dia_vencimento]]="", tbl_de_massas[[#This Row],[dia_vencimento]]="--"), "", WORKDAY(tbl_de_massas[[#This Row],[dia_vencimento]], 5))</f>
        <v>11</v>
      </c>
    </row>
    <row r="1002" spans="1:18" x14ac:dyDescent="0.25">
      <c r="A1002" t="s">
        <v>5850</v>
      </c>
      <c r="B1002" t="s">
        <v>5851</v>
      </c>
      <c r="C1002" s="32" t="s">
        <v>2917</v>
      </c>
      <c r="D1002" t="s">
        <v>5852</v>
      </c>
      <c r="E1002" s="54">
        <v>7210.3</v>
      </c>
      <c r="F1002" s="54">
        <v>4221.97</v>
      </c>
      <c r="G1002" s="54">
        <v>9774.0300000000007</v>
      </c>
      <c r="H1002" s="54">
        <v>3870.86</v>
      </c>
      <c r="I1002" t="s">
        <v>2877</v>
      </c>
      <c r="J1002" s="31">
        <v>4636.05</v>
      </c>
      <c r="K1002" s="36" t="s">
        <v>607</v>
      </c>
      <c r="L1002" t="s">
        <v>2502</v>
      </c>
      <c r="M1002" t="s">
        <v>5853</v>
      </c>
      <c r="N1002" t="s">
        <v>1341</v>
      </c>
      <c r="O1002" t="s">
        <v>67</v>
      </c>
      <c r="Q1002" s="23">
        <v>46282.509699421294</v>
      </c>
      <c r="R1002" s="32">
        <f>IF(OR(tbl_de_massas[[#This Row],[dia_vencimento]]="", tbl_de_massas[[#This Row],[dia_vencimento]]="--"), "", WORKDAY(tbl_de_massas[[#This Row],[dia_vencimento]], 5))</f>
        <v>27</v>
      </c>
    </row>
    <row r="1003" spans="1:18" x14ac:dyDescent="0.25">
      <c r="A1003" t="s">
        <v>5854</v>
      </c>
      <c r="B1003" t="s">
        <v>5855</v>
      </c>
      <c r="C1003" s="32" t="s">
        <v>5839</v>
      </c>
      <c r="D1003" t="s">
        <v>203</v>
      </c>
      <c r="E1003" s="54">
        <v>8363.76</v>
      </c>
      <c r="F1003" s="54">
        <v>4663.1099999999997</v>
      </c>
      <c r="G1003" s="54">
        <v>3754.74</v>
      </c>
      <c r="H1003" s="54">
        <v>3870.86</v>
      </c>
      <c r="I1003" t="s">
        <v>2877</v>
      </c>
      <c r="J1003" s="31">
        <v>5077.1899999999996</v>
      </c>
      <c r="K1003" s="36" t="s">
        <v>607</v>
      </c>
      <c r="L1003" t="s">
        <v>2502</v>
      </c>
      <c r="M1003" t="s">
        <v>67</v>
      </c>
      <c r="O1003" t="s">
        <v>5856</v>
      </c>
      <c r="P1003" t="s">
        <v>1341</v>
      </c>
      <c r="Q1003" s="23">
        <v>46282.509764189817</v>
      </c>
      <c r="R1003" s="32">
        <f>IF(OR(tbl_de_massas[[#This Row],[dia_vencimento]]="", tbl_de_massas[[#This Row],[dia_vencimento]]="--"), "", WORKDAY(tbl_de_massas[[#This Row],[dia_vencimento]], 5))</f>
        <v>31</v>
      </c>
    </row>
    <row r="1004" spans="1:18" x14ac:dyDescent="0.25">
      <c r="A1004" t="s">
        <v>5857</v>
      </c>
      <c r="B1004" t="s">
        <v>5858</v>
      </c>
      <c r="C1004" s="32" t="s">
        <v>5830</v>
      </c>
      <c r="D1004" t="s">
        <v>5859</v>
      </c>
      <c r="E1004" s="54">
        <v>11975.42</v>
      </c>
      <c r="F1004" s="54">
        <v>4281</v>
      </c>
      <c r="G1004" s="54">
        <v>3330.67</v>
      </c>
      <c r="H1004" s="54">
        <v>3870.86</v>
      </c>
      <c r="I1004" t="s">
        <v>2877</v>
      </c>
      <c r="J1004" s="31">
        <v>4695.08</v>
      </c>
      <c r="K1004" s="36" t="s">
        <v>607</v>
      </c>
      <c r="L1004" t="s">
        <v>2502</v>
      </c>
      <c r="M1004" t="s">
        <v>67</v>
      </c>
      <c r="O1004" t="s">
        <v>5860</v>
      </c>
      <c r="P1004" t="s">
        <v>1341</v>
      </c>
      <c r="Q1004" s="23">
        <v>46282.509835648147</v>
      </c>
      <c r="R1004" s="32">
        <f>IF(OR(tbl_de_massas[[#This Row],[dia_vencimento]]="", tbl_de_massas[[#This Row],[dia_vencimento]]="--"), "", WORKDAY(tbl_de_massas[[#This Row],[dia_vencimento]], 5))</f>
        <v>13</v>
      </c>
    </row>
    <row r="1005" spans="1:18" x14ac:dyDescent="0.25">
      <c r="A1005" t="s">
        <v>5861</v>
      </c>
      <c r="B1005" t="s">
        <v>5862</v>
      </c>
      <c r="C1005" s="32" t="s">
        <v>2924</v>
      </c>
      <c r="D1005" t="s">
        <v>5863</v>
      </c>
      <c r="E1005" s="54">
        <v>12791.68</v>
      </c>
      <c r="F1005" s="54">
        <v>4312.4799999999996</v>
      </c>
      <c r="G1005" s="54">
        <v>16626.86</v>
      </c>
      <c r="H1005" s="54">
        <v>3870.86</v>
      </c>
      <c r="I1005" t="s">
        <v>2877</v>
      </c>
      <c r="J1005" s="31">
        <v>4726.5600000000004</v>
      </c>
      <c r="K1005" s="36" t="s">
        <v>607</v>
      </c>
      <c r="L1005" t="s">
        <v>2502</v>
      </c>
      <c r="M1005" t="s">
        <v>5864</v>
      </c>
      <c r="N1005" t="s">
        <v>1345</v>
      </c>
      <c r="O1005" t="s">
        <v>5865</v>
      </c>
      <c r="P1005" t="s">
        <v>1345</v>
      </c>
      <c r="Q1005" s="23">
        <v>46282.509926736115</v>
      </c>
      <c r="R1005" s="32">
        <f>IF(OR(tbl_de_massas[[#This Row],[dia_vencimento]]="", tbl_de_massas[[#This Row],[dia_vencimento]]="--"), "", WORKDAY(tbl_de_massas[[#This Row],[dia_vencimento]], 5))</f>
        <v>26</v>
      </c>
    </row>
    <row r="1006" spans="1:18" x14ac:dyDescent="0.25">
      <c r="A1006" t="s">
        <v>5866</v>
      </c>
      <c r="B1006" t="s">
        <v>5867</v>
      </c>
      <c r="C1006" s="32" t="s">
        <v>5827</v>
      </c>
      <c r="D1006" t="s">
        <v>5868</v>
      </c>
      <c r="E1006" s="54">
        <v>11487.91</v>
      </c>
      <c r="F1006" s="54">
        <v>4419.04</v>
      </c>
      <c r="G1006" s="54">
        <v>12221.7</v>
      </c>
      <c r="H1006" s="54">
        <v>3870.86</v>
      </c>
      <c r="I1006" t="s">
        <v>2877</v>
      </c>
      <c r="J1006" s="31">
        <v>4833.12</v>
      </c>
      <c r="K1006" s="36" t="s">
        <v>607</v>
      </c>
      <c r="L1006" t="s">
        <v>2502</v>
      </c>
      <c r="M1006" t="s">
        <v>67</v>
      </c>
      <c r="O1006" t="s">
        <v>5869</v>
      </c>
      <c r="P1006" t="s">
        <v>1341</v>
      </c>
      <c r="Q1006" s="23">
        <v>46282.509968182872</v>
      </c>
      <c r="R1006" s="32">
        <f>IF(OR(tbl_de_massas[[#This Row],[dia_vencimento]]="", tbl_de_massas[[#This Row],[dia_vencimento]]="--"), "", WORKDAY(tbl_de_massas[[#This Row],[dia_vencimento]], 5))</f>
        <v>12</v>
      </c>
    </row>
    <row r="1007" spans="1:18" x14ac:dyDescent="0.25">
      <c r="A1007" t="s">
        <v>5870</v>
      </c>
      <c r="B1007" t="s">
        <v>5871</v>
      </c>
      <c r="C1007" s="32" t="s">
        <v>5833</v>
      </c>
      <c r="D1007" t="s">
        <v>5872</v>
      </c>
      <c r="E1007" s="54">
        <v>8289.33</v>
      </c>
      <c r="F1007" s="54">
        <v>2384.13</v>
      </c>
      <c r="G1007" s="54">
        <v>0</v>
      </c>
      <c r="H1007" s="54">
        <v>3870.86</v>
      </c>
      <c r="I1007" t="s">
        <v>2877</v>
      </c>
      <c r="J1007" s="31">
        <v>5075.24</v>
      </c>
      <c r="K1007" s="36" t="s">
        <v>607</v>
      </c>
      <c r="L1007" t="s">
        <v>2502</v>
      </c>
      <c r="M1007" t="s">
        <v>5873</v>
      </c>
      <c r="N1007" t="s">
        <v>1341</v>
      </c>
      <c r="O1007" t="s">
        <v>67</v>
      </c>
      <c r="Q1007" s="23">
        <v>46282.510036111111</v>
      </c>
      <c r="R1007" s="32">
        <f>IF(OR(tbl_de_massas[[#This Row],[dia_vencimento]]="", tbl_de_massas[[#This Row],[dia_vencimento]]="--"), "", WORKDAY(tbl_de_massas[[#This Row],[dia_vencimento]], 5))</f>
        <v>13</v>
      </c>
    </row>
    <row r="1008" spans="1:18" x14ac:dyDescent="0.25">
      <c r="A1008" t="s">
        <v>5874</v>
      </c>
      <c r="B1008" t="s">
        <v>5875</v>
      </c>
      <c r="C1008" s="32" t="s">
        <v>2362</v>
      </c>
      <c r="D1008" t="s">
        <v>5876</v>
      </c>
      <c r="E1008" s="54">
        <v>6162.57</v>
      </c>
      <c r="F1008" s="54">
        <v>4241.7700000000004</v>
      </c>
      <c r="G1008" s="54">
        <v>14489.13</v>
      </c>
      <c r="H1008" s="54">
        <v>3870.86</v>
      </c>
      <c r="I1008" t="s">
        <v>2877</v>
      </c>
      <c r="J1008" s="31">
        <v>4655.8500000000004</v>
      </c>
      <c r="K1008" s="36" t="s">
        <v>607</v>
      </c>
      <c r="L1008" t="s">
        <v>2502</v>
      </c>
      <c r="M1008" t="s">
        <v>67</v>
      </c>
      <c r="O1008" t="s">
        <v>5877</v>
      </c>
      <c r="P1008" t="s">
        <v>1345</v>
      </c>
      <c r="Q1008" s="23">
        <v>46282.510081828703</v>
      </c>
      <c r="R1008" s="32">
        <f>IF(OR(tbl_de_massas[[#This Row],[dia_vencimento]]="", tbl_de_massas[[#This Row],[dia_vencimento]]="--"), "", WORKDAY(tbl_de_massas[[#This Row],[dia_vencimento]], 5))</f>
        <v>20</v>
      </c>
    </row>
    <row r="1009" spans="1:18" x14ac:dyDescent="0.25">
      <c r="A1009" t="s">
        <v>5878</v>
      </c>
      <c r="B1009" t="s">
        <v>5879</v>
      </c>
      <c r="C1009" s="32" t="s">
        <v>5838</v>
      </c>
      <c r="D1009" t="s">
        <v>5880</v>
      </c>
      <c r="E1009" s="54">
        <v>14978.63</v>
      </c>
      <c r="F1009" s="54">
        <v>3528</v>
      </c>
      <c r="G1009" s="54">
        <v>0</v>
      </c>
      <c r="H1009" s="54">
        <v>3870.86</v>
      </c>
      <c r="I1009" t="s">
        <v>2877</v>
      </c>
      <c r="J1009" s="31">
        <v>4635.3599999999997</v>
      </c>
      <c r="K1009" s="36" t="s">
        <v>607</v>
      </c>
      <c r="L1009" t="s">
        <v>2502</v>
      </c>
      <c r="M1009" t="s">
        <v>67</v>
      </c>
      <c r="O1009" t="s">
        <v>5881</v>
      </c>
      <c r="P1009" t="s">
        <v>1341</v>
      </c>
      <c r="Q1009" s="23">
        <v>46282.510117187499</v>
      </c>
      <c r="R1009" s="32">
        <f>IF(OR(tbl_de_massas[[#This Row],[dia_vencimento]]="", tbl_de_massas[[#This Row],[dia_vencimento]]="--"), "", WORKDAY(tbl_de_massas[[#This Row],[dia_vencimento]], 5))</f>
        <v>11</v>
      </c>
    </row>
    <row r="1010" spans="1:18" x14ac:dyDescent="0.25">
      <c r="A1010" t="s">
        <v>5882</v>
      </c>
      <c r="B1010" t="s">
        <v>5883</v>
      </c>
      <c r="C1010" s="32" t="s">
        <v>2925</v>
      </c>
      <c r="D1010" t="s">
        <v>5884</v>
      </c>
      <c r="E1010" s="54">
        <v>7425.62</v>
      </c>
      <c r="F1010" s="54">
        <v>4441.88</v>
      </c>
      <c r="G1010" s="54">
        <v>4844.33</v>
      </c>
      <c r="H1010" s="54">
        <v>3870.86</v>
      </c>
      <c r="I1010" t="s">
        <v>2877</v>
      </c>
      <c r="J1010" s="31">
        <v>4855.96</v>
      </c>
      <c r="K1010" s="36" t="s">
        <v>607</v>
      </c>
      <c r="L1010" t="s">
        <v>2502</v>
      </c>
      <c r="M1010" t="s">
        <v>67</v>
      </c>
      <c r="O1010" t="s">
        <v>5885</v>
      </c>
      <c r="P1010" t="s">
        <v>1341</v>
      </c>
      <c r="Q1010" s="23">
        <v>46282.510150104164</v>
      </c>
      <c r="R1010" s="32">
        <f>IF(OR(tbl_de_massas[[#This Row],[dia_vencimento]]="", tbl_de_massas[[#This Row],[dia_vencimento]]="--"), "", WORKDAY(tbl_de_massas[[#This Row],[dia_vencimento]], 5))</f>
        <v>24</v>
      </c>
    </row>
    <row r="1011" spans="1:18" x14ac:dyDescent="0.25">
      <c r="A1011" t="s">
        <v>5886</v>
      </c>
      <c r="B1011" t="s">
        <v>5887</v>
      </c>
      <c r="C1011" s="32" t="s">
        <v>5835</v>
      </c>
      <c r="D1011" t="s">
        <v>5888</v>
      </c>
      <c r="E1011" s="54">
        <v>14328.95</v>
      </c>
      <c r="F1011" s="54">
        <v>4232.82</v>
      </c>
      <c r="G1011" s="54">
        <v>5286.31</v>
      </c>
      <c r="H1011" s="54">
        <v>3870.86</v>
      </c>
      <c r="I1011" t="s">
        <v>2877</v>
      </c>
      <c r="J1011" s="31">
        <v>4646.8999999999996</v>
      </c>
      <c r="K1011" s="36" t="s">
        <v>607</v>
      </c>
      <c r="L1011" t="s">
        <v>2502</v>
      </c>
      <c r="M1011" t="s">
        <v>5889</v>
      </c>
      <c r="N1011" t="s">
        <v>1345</v>
      </c>
      <c r="O1011" t="s">
        <v>67</v>
      </c>
      <c r="Q1011" s="23">
        <v>46282.510178819444</v>
      </c>
      <c r="R1011" s="32">
        <f>IF(OR(tbl_de_massas[[#This Row],[dia_vencimento]]="", tbl_de_massas[[#This Row],[dia_vencimento]]="--"), "", WORKDAY(tbl_de_massas[[#This Row],[dia_vencimento]], 5))</f>
        <v>25</v>
      </c>
    </row>
    <row r="1012" spans="1:18" x14ac:dyDescent="0.25">
      <c r="A1012" t="s">
        <v>5890</v>
      </c>
      <c r="B1012" t="s">
        <v>5891</v>
      </c>
      <c r="C1012" s="32" t="s">
        <v>2917</v>
      </c>
      <c r="D1012" t="s">
        <v>5892</v>
      </c>
      <c r="E1012" s="54">
        <v>3689.24</v>
      </c>
      <c r="F1012" s="54">
        <v>4530.1099999999997</v>
      </c>
      <c r="G1012" s="54">
        <v>3101.14</v>
      </c>
      <c r="H1012" s="54">
        <v>3870.86</v>
      </c>
      <c r="I1012" t="s">
        <v>2877</v>
      </c>
      <c r="J1012" s="31">
        <v>4944.1899999999996</v>
      </c>
      <c r="K1012" s="36" t="s">
        <v>607</v>
      </c>
      <c r="L1012" t="s">
        <v>2502</v>
      </c>
      <c r="M1012" t="s">
        <v>5893</v>
      </c>
      <c r="N1012" t="s">
        <v>1341</v>
      </c>
      <c r="O1012" t="s">
        <v>5894</v>
      </c>
      <c r="P1012" t="s">
        <v>1341</v>
      </c>
      <c r="Q1012" s="23">
        <v>46282.510281805553</v>
      </c>
      <c r="R1012" s="32">
        <f>IF(OR(tbl_de_massas[[#This Row],[dia_vencimento]]="", tbl_de_massas[[#This Row],[dia_vencimento]]="--"), "", WORKDAY(tbl_de_massas[[#This Row],[dia_vencimento]], 5))</f>
        <v>27</v>
      </c>
    </row>
    <row r="1013" spans="1:18" x14ac:dyDescent="0.25">
      <c r="A1013" t="s">
        <v>5895</v>
      </c>
      <c r="B1013" t="s">
        <v>5896</v>
      </c>
      <c r="C1013" s="32" t="s">
        <v>5828</v>
      </c>
      <c r="D1013" t="s">
        <v>5897</v>
      </c>
      <c r="E1013" s="54">
        <v>4366.0200000000004</v>
      </c>
      <c r="F1013" s="54">
        <v>538.48</v>
      </c>
      <c r="G1013" s="54">
        <v>21214.99</v>
      </c>
      <c r="H1013" s="54">
        <v>0</v>
      </c>
      <c r="I1013" t="s">
        <v>2881</v>
      </c>
      <c r="J1013" s="31">
        <v>538.48</v>
      </c>
      <c r="K1013" s="36" t="s">
        <v>1306</v>
      </c>
      <c r="L1013" t="s">
        <v>2504</v>
      </c>
      <c r="M1013" t="s">
        <v>67</v>
      </c>
      <c r="O1013" t="s">
        <v>5898</v>
      </c>
      <c r="P1013" t="s">
        <v>1341</v>
      </c>
      <c r="Q1013" s="23">
        <v>46282.51033824074</v>
      </c>
      <c r="R1013" s="32">
        <f>IF(OR(tbl_de_massas[[#This Row],[dia_vencimento]]="", tbl_de_massas[[#This Row],[dia_vencimento]]="--"), "", WORKDAY(tbl_de_massas[[#This Row],[dia_vencimento]], 5))</f>
        <v>33</v>
      </c>
    </row>
    <row r="1014" spans="1:18" x14ac:dyDescent="0.25">
      <c r="A1014" t="s">
        <v>5899</v>
      </c>
      <c r="B1014" t="s">
        <v>5900</v>
      </c>
      <c r="C1014" s="32" t="s">
        <v>5827</v>
      </c>
      <c r="D1014" t="s">
        <v>5901</v>
      </c>
      <c r="E1014" s="54">
        <v>9230.17</v>
      </c>
      <c r="F1014" s="54">
        <v>879.15</v>
      </c>
      <c r="G1014" s="54">
        <v>16427.400000000001</v>
      </c>
      <c r="H1014" s="54">
        <v>0</v>
      </c>
      <c r="I1014" t="s">
        <v>2881</v>
      </c>
      <c r="J1014" s="31">
        <v>879.15</v>
      </c>
      <c r="K1014" s="36" t="s">
        <v>1306</v>
      </c>
      <c r="L1014" t="s">
        <v>2504</v>
      </c>
      <c r="M1014" t="s">
        <v>5902</v>
      </c>
      <c r="N1014" t="s">
        <v>1341</v>
      </c>
      <c r="O1014" t="s">
        <v>5903</v>
      </c>
      <c r="P1014" t="s">
        <v>1341</v>
      </c>
      <c r="Q1014" s="23">
        <v>46282.510406770831</v>
      </c>
      <c r="R1014" s="32">
        <f>IF(OR(tbl_de_massas[[#This Row],[dia_vencimento]]="", tbl_de_massas[[#This Row],[dia_vencimento]]="--"), "", WORKDAY(tbl_de_massas[[#This Row],[dia_vencimento]], 5))</f>
        <v>12</v>
      </c>
    </row>
    <row r="1015" spans="1:18" x14ac:dyDescent="0.25">
      <c r="A1015" t="s">
        <v>5904</v>
      </c>
      <c r="B1015" t="s">
        <v>5905</v>
      </c>
      <c r="C1015" s="32" t="s">
        <v>2346</v>
      </c>
      <c r="D1015" t="s">
        <v>5906</v>
      </c>
      <c r="E1015" s="54">
        <v>4887.8</v>
      </c>
      <c r="F1015" s="54">
        <v>4396.55</v>
      </c>
      <c r="G1015" s="54">
        <v>6264.99</v>
      </c>
      <c r="H1015" s="54">
        <v>3870.86</v>
      </c>
      <c r="I1015" t="s">
        <v>2877</v>
      </c>
      <c r="J1015" s="31">
        <v>4810.63</v>
      </c>
      <c r="K1015" s="36" t="s">
        <v>607</v>
      </c>
      <c r="L1015" t="s">
        <v>2502</v>
      </c>
      <c r="M1015" t="s">
        <v>5907</v>
      </c>
      <c r="N1015" t="s">
        <v>1341</v>
      </c>
      <c r="O1015" t="s">
        <v>67</v>
      </c>
      <c r="Q1015" s="23">
        <v>46282.510457303244</v>
      </c>
      <c r="R1015" s="32">
        <f>IF(OR(tbl_de_massas[[#This Row],[dia_vencimento]]="", tbl_de_massas[[#This Row],[dia_vencimento]]="--"), "", WORKDAY(tbl_de_massas[[#This Row],[dia_vencimento]], 5))</f>
        <v>18</v>
      </c>
    </row>
    <row r="1016" spans="1:18" x14ac:dyDescent="0.25">
      <c r="A1016" t="s">
        <v>5908</v>
      </c>
      <c r="B1016" t="s">
        <v>5909</v>
      </c>
      <c r="C1016" s="32" t="s">
        <v>2924</v>
      </c>
      <c r="D1016" t="s">
        <v>5910</v>
      </c>
      <c r="E1016" s="54">
        <v>4582.12</v>
      </c>
      <c r="F1016" s="54">
        <v>3010.87</v>
      </c>
      <c r="G1016" s="54">
        <v>0</v>
      </c>
      <c r="H1016" s="54">
        <v>3870.86</v>
      </c>
      <c r="I1016" t="s">
        <v>2877</v>
      </c>
      <c r="J1016" s="31">
        <v>4637.71</v>
      </c>
      <c r="K1016" s="36" t="s">
        <v>607</v>
      </c>
      <c r="L1016" t="s">
        <v>2502</v>
      </c>
      <c r="M1016" t="s">
        <v>5911</v>
      </c>
      <c r="N1016" t="s">
        <v>1341</v>
      </c>
      <c r="O1016" t="s">
        <v>5912</v>
      </c>
      <c r="P1016" t="s">
        <v>1341</v>
      </c>
      <c r="Q1016" s="23">
        <v>46282.510779722223</v>
      </c>
      <c r="R1016" s="32">
        <f>IF(OR(tbl_de_massas[[#This Row],[dia_vencimento]]="", tbl_de_massas[[#This Row],[dia_vencimento]]="--"), "", WORKDAY(tbl_de_massas[[#This Row],[dia_vencimento]], 5))</f>
        <v>26</v>
      </c>
    </row>
  </sheetData>
  <conditionalFormatting sqref="E2:E1048576">
    <cfRule type="cellIs" dxfId="1" priority="1" operator="greaterThan">
      <formula>$H2</formula>
    </cfRule>
  </conditionalFormatting>
  <conditionalFormatting sqref="G2:G1016">
    <cfRule type="cellIs" dxfId="0" priority="2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0D4612-CB62-426F-ADBD-0E746D8D79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TBL_FATURA</vt:lpstr>
      <vt:lpstr>TBL_CENARIOS</vt:lpstr>
      <vt:lpstr>TBL_USUARIOS</vt:lpstr>
      <vt:lpstr>TBL_PIX</vt:lpstr>
      <vt:lpstr>TBL_USUARIOS_SECUNDARIOS</vt:lpstr>
      <vt:lpstr>TBL_CADASTRO</vt:lpstr>
      <vt:lpstr>tbl_de_massas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Gilvan Sousa</dc:creator>
  <cp:lastModifiedBy>Gilvan Sousa</cp:lastModifiedBy>
  <dcterms:created xsi:type="dcterms:W3CDTF">2024-06-13T16:50:06Z</dcterms:created>
  <dcterms:modified xsi:type="dcterms:W3CDTF">2026-09-17T23:34:54Z</dcterms:modified>
</cp:coreProperties>
</file>